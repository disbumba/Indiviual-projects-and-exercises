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4"/>
  </sheets>
  <definedNames/>
  <calcPr/>
</workbook>
</file>

<file path=xl/sharedStrings.xml><?xml version="1.0" encoding="utf-8"?>
<sst xmlns="http://schemas.openxmlformats.org/spreadsheetml/2006/main" count="4104" uniqueCount="543">
  <si>
    <t>Marcaj de timp</t>
  </si>
  <si>
    <t>Data nașterii</t>
  </si>
  <si>
    <t>Specializarea la care sunteți student</t>
  </si>
  <si>
    <t>Anul</t>
  </si>
  <si>
    <t>Localitatea de domiciliu</t>
  </si>
  <si>
    <t>Liceul absolvit</t>
  </si>
  <si>
    <t>Profilul absolvit</t>
  </si>
  <si>
    <t>Din ce motive ati ales această specializare</t>
  </si>
  <si>
    <t>Înalțime</t>
  </si>
  <si>
    <t>Sex</t>
  </si>
  <si>
    <t>Greutatea</t>
  </si>
  <si>
    <t>Culoarea ochilor</t>
  </si>
  <si>
    <t>Culoarea părului</t>
  </si>
  <si>
    <t>Ce surse de informare preferați în general</t>
  </si>
  <si>
    <t>Număr ore/zi în care utilizați Facebook</t>
  </si>
  <si>
    <t>Număr ore/zi în care utilizați Youtube</t>
  </si>
  <si>
    <t>Număr ore/zi în care utilizați Twitter</t>
  </si>
  <si>
    <t>Număr ore/zi în care utilizați LinkedIn</t>
  </si>
  <si>
    <t>Alte rețele de socializare pe care aveți cont + număr de ore/zi</t>
  </si>
  <si>
    <t>Număr ore/zi în care mă joc on-line:</t>
  </si>
  <si>
    <t>Număr ore/zi în care mă joc off-line:</t>
  </si>
  <si>
    <t>Cât de des mergeți la bibliotecă în timpul semestrului</t>
  </si>
  <si>
    <t>Cât de des mergeți la bibliotecă în timpul sesiunii:</t>
  </si>
  <si>
    <t>Câte cărți împrumutați / semestru:</t>
  </si>
  <si>
    <t>Credeți că aveți destul timp liber?</t>
  </si>
  <si>
    <t>Ați fi preferat să completați acest chestionar off-line?</t>
  </si>
  <si>
    <t>Ideea de a realiza o soluție software pe Facebook care să permită studenților să învețe împreună într-un mediu virtual este:</t>
  </si>
  <si>
    <t>Dați, pe scurt, trei idei pentru ca o astfel de aplicație să fie utilă:</t>
  </si>
  <si>
    <t>Ați dat admitere de intrare la facultate</t>
  </si>
  <si>
    <t>Dacă da, ce punctaj ați obținut</t>
  </si>
  <si>
    <t>Media obținută la bacalaureat</t>
  </si>
  <si>
    <t>Nota obținută la matematică:</t>
  </si>
  <si>
    <t>Tipul examenului la matematică</t>
  </si>
  <si>
    <t>Nota obținută la limba și literatura română:</t>
  </si>
  <si>
    <t>Ce părere aveți despre faptul că sunteți student la această specializare?</t>
  </si>
  <si>
    <t>Ce credeți despre șansele de a găsi un loc de muncă în domeniul vostru în acest moment?</t>
  </si>
  <si>
    <t>Ce credeți despre șansele de a găsi un loc de muncă în domeniul vostru după absolvire?</t>
  </si>
  <si>
    <t>Note obținute în anul 1</t>
  </si>
  <si>
    <t>medie studenti</t>
  </si>
  <si>
    <t>sortare descrescator</t>
  </si>
  <si>
    <t>calculare rata promovabilitate</t>
  </si>
  <si>
    <t>Distribuire pe intervale</t>
  </si>
  <si>
    <t>promovabilitati</t>
  </si>
  <si>
    <t>ex.6</t>
  </si>
  <si>
    <t>Număr restanțe la sfârșitul anului 1</t>
  </si>
  <si>
    <t>Medie studenti</t>
  </si>
  <si>
    <t>Ing. Sistemelor Multimedia</t>
  </si>
  <si>
    <t>Anul 2</t>
  </si>
  <si>
    <t>Sibiu</t>
  </si>
  <si>
    <t>bun</t>
  </si>
  <si>
    <t>ew</t>
  </si>
  <si>
    <t>Mă pasionează domeniul</t>
  </si>
  <si>
    <t>1,61-1,70</t>
  </si>
  <si>
    <t>masculin</t>
  </si>
  <si>
    <t>91-100</t>
  </si>
  <si>
    <t>căprui</t>
  </si>
  <si>
    <t>mă duc la bibliotecă, caut online, întreb prietenii, ziare</t>
  </si>
  <si>
    <t>&lt;1h</t>
  </si>
  <si>
    <t>Nu am cont</t>
  </si>
  <si>
    <t>Nu mă joc online</t>
  </si>
  <si>
    <t>Lunar</t>
  </si>
  <si>
    <t>Niciodată</t>
  </si>
  <si>
    <t>1-5</t>
  </si>
  <si>
    <t>Da</t>
  </si>
  <si>
    <t>Cisnadie</t>
  </si>
  <si>
    <t>Colegiu National "Gheorghe Lazar" Sibiu</t>
  </si>
  <si>
    <t>Matematică-Informatică</t>
  </si>
  <si>
    <t>Influența părinților</t>
  </si>
  <si>
    <t>1,71-1,80</t>
  </si>
  <si>
    <t>71-80</t>
  </si>
  <si>
    <t>verzi</t>
  </si>
  <si>
    <t>roșcat</t>
  </si>
  <si>
    <t>caut online, întreb prietenii</t>
  </si>
  <si>
    <t>1-2h</t>
  </si>
  <si>
    <t>Nu</t>
  </si>
  <si>
    <t>Bună</t>
  </si>
  <si>
    <t>a) Toata lumea foloseste Facebook
b) Are o interfata placuta
c) Te poti conecta de oriunde cu ajutorul unui telefon mobil</t>
  </si>
  <si>
    <t>7.16</t>
  </si>
  <si>
    <t>6.95</t>
  </si>
  <si>
    <t>M1</t>
  </si>
  <si>
    <t>8.45</t>
  </si>
  <si>
    <t>Rea</t>
  </si>
  <si>
    <t>Foarte bună</t>
  </si>
  <si>
    <t>Colegiul National "Octavian Goga" Sibiu</t>
  </si>
  <si>
    <t>61-70</t>
  </si>
  <si>
    <t>albaștri</t>
  </si>
  <si>
    <t>blond</t>
  </si>
  <si>
    <t>caut online, întreb prietenii, ziare online</t>
  </si>
  <si>
    <t>-</t>
  </si>
  <si>
    <t>a) crearea unui grup pentru toti studentii
b) atasarea de cursuri si laboratore
c) conversatii in timp real cu ceilalti studenti</t>
  </si>
  <si>
    <t>7.41</t>
  </si>
  <si>
    <t>7.30</t>
  </si>
  <si>
    <t>6.80</t>
  </si>
  <si>
    <t>Habar nu am</t>
  </si>
  <si>
    <t>Colegiul National "Gheorghe Lazar"</t>
  </si>
  <si>
    <t>51-60</t>
  </si>
  <si>
    <t>brunet</t>
  </si>
  <si>
    <t>caut online</t>
  </si>
  <si>
    <t>&gt;6h</t>
  </si>
  <si>
    <t>9gag 1-2h</t>
  </si>
  <si>
    <t>3-4h</t>
  </si>
  <si>
    <t>Săptămânal</t>
  </si>
  <si>
    <t>a) Postarea informatiilor utile
b) Postarea suportului de invatare
c) Separarea elevilor pe an/filiala</t>
  </si>
  <si>
    <t>8.21</t>
  </si>
  <si>
    <t>9.20</t>
  </si>
  <si>
    <t>8.0</t>
  </si>
  <si>
    <t>Râmnicu Vâlcea</t>
  </si>
  <si>
    <t>colegiul national mircea cel batran</t>
  </si>
  <si>
    <t>8.68</t>
  </si>
  <si>
    <t>9.35</t>
  </si>
  <si>
    <t>7.2</t>
  </si>
  <si>
    <t>1,81-1,90</t>
  </si>
  <si>
    <t>81-90</t>
  </si>
  <si>
    <t>șaten</t>
  </si>
  <si>
    <t>a) Postarea suportului de curs;
b) Rezolvare de proiecte in echipa;
c) Comunicare facila intre studenti;</t>
  </si>
  <si>
    <t>9.06</t>
  </si>
  <si>
    <t>9.30</t>
  </si>
  <si>
    <t>8.15</t>
  </si>
  <si>
    <t>Făgăraș</t>
  </si>
  <si>
    <t>Colegiul National "Radu Negru" Fagaras</t>
  </si>
  <si>
    <t>Științe ale naturii</t>
  </si>
  <si>
    <t>Foarte rea</t>
  </si>
  <si>
    <t>7.61</t>
  </si>
  <si>
    <t>8.55</t>
  </si>
  <si>
    <t>M2</t>
  </si>
  <si>
    <t>6.90</t>
  </si>
  <si>
    <t>Colegiul National "Radu Negru Fagaras"</t>
  </si>
  <si>
    <t>Colegiul National "Samuel von Brukenthal"</t>
  </si>
  <si>
    <t>Mă pasionează domeniul, Voi găsi usor loc de muncă, Prezentarea specializării în mass media</t>
  </si>
  <si>
    <t>a) orice student are acces
b) se poate folosi oricand si de oriunde
c) aceeasi sursa</t>
  </si>
  <si>
    <t>8.50</t>
  </si>
  <si>
    <t>8.70</t>
  </si>
  <si>
    <t>8.80</t>
  </si>
  <si>
    <t xml:space="preserve">Colegiul National "Gheorghe Lazar" </t>
  </si>
  <si>
    <t>8.61</t>
  </si>
  <si>
    <t>9.4</t>
  </si>
  <si>
    <t>Grup Scolar C-tii si Ath. "CAROL I"</t>
  </si>
  <si>
    <t>Științe sociale</t>
  </si>
  <si>
    <t>7.18</t>
  </si>
  <si>
    <t>9.15</t>
  </si>
  <si>
    <t>5.6</t>
  </si>
  <si>
    <t>Liceul Preda Buzescu Berbesti</t>
  </si>
  <si>
    <t>Mă pasionează domeniul, Voi găsi usor loc de muncă</t>
  </si>
  <si>
    <t>feminin</t>
  </si>
  <si>
    <t>&lt;50</t>
  </si>
  <si>
    <t>a) Transmiterea rapida a informatiilor
b) Posibilitatea de a imbina utilul cu placutul
c) Folosirea facebook-ului intr-un scop mai bun decat cel de a expozitiona shooting-uri foto.</t>
  </si>
  <si>
    <t>9.68</t>
  </si>
  <si>
    <t>9.50</t>
  </si>
  <si>
    <t>9.80</t>
  </si>
  <si>
    <t>Victoria</t>
  </si>
  <si>
    <t>Liceul Teoretic "Ion Codru Dragusanu"</t>
  </si>
  <si>
    <t>a) informarea rapida a studentilor
b) folosirea facebook-ului intr-un alt scop decat cel de a vizualiza conturile prietenilor</t>
  </si>
  <si>
    <t>9.25</t>
  </si>
  <si>
    <t>9.45</t>
  </si>
  <si>
    <t>8.6</t>
  </si>
  <si>
    <t>Colegiul National "Octavian Goga"</t>
  </si>
  <si>
    <t>Voi găsi usor loc de muncă</t>
  </si>
  <si>
    <t>caut online, întreb prietenii, ziare</t>
  </si>
  <si>
    <t>Twitch 4-5h</t>
  </si>
  <si>
    <t>5-6h</t>
  </si>
  <si>
    <t>a)Poti gasi exemple mult mai usor
b)Poti verifica rezultate mult mai usor
c)Poti gasi fete destepte mult mai usor! ;)</t>
  </si>
  <si>
    <t>Calculatoare/Tehn. Informației</t>
  </si>
  <si>
    <t>Voi găsi usor loc de muncă, Influența părinților</t>
  </si>
  <si>
    <t>caut online, întreb prietenii, televizor, radio</t>
  </si>
  <si>
    <t>8.64</t>
  </si>
  <si>
    <t>8.60</t>
  </si>
  <si>
    <t>6/28/0196</t>
  </si>
  <si>
    <t>Colegiul National "Gheorghe Lazar" Sibiu</t>
  </si>
  <si>
    <t>mă duc la bibliotecă, caut online, întreb prietenii</t>
  </si>
  <si>
    <t>6/28/0197</t>
  </si>
  <si>
    <t>Nu mă joc off-line</t>
  </si>
  <si>
    <t>9.5</t>
  </si>
  <si>
    <t>9.55</t>
  </si>
  <si>
    <t>C.N.I Matei Basarab</t>
  </si>
  <si>
    <t>întreb prietenii</t>
  </si>
  <si>
    <t>Skype</t>
  </si>
  <si>
    <t>Este buna pentru cei care chiar vor sa invete intr-un mediu virtual.</t>
  </si>
  <si>
    <t>8.03</t>
  </si>
  <si>
    <t>7.5</t>
  </si>
  <si>
    <t>Medias</t>
  </si>
  <si>
    <t>Axente-Sever</t>
  </si>
  <si>
    <t>7.15</t>
  </si>
  <si>
    <t>6.84</t>
  </si>
  <si>
    <t>6.40</t>
  </si>
  <si>
    <t>Liceul teoretic "Onisifor Ghibu"</t>
  </si>
  <si>
    <t>9.00</t>
  </si>
  <si>
    <t>7.50</t>
  </si>
  <si>
    <t>Dragasani</t>
  </si>
  <si>
    <t>Colegiul National Gib Mihaescu</t>
  </si>
  <si>
    <t>negri</t>
  </si>
  <si>
    <t>a) invatam de acasa
b) nu mai trebuie carti
c) program propriu de studiu</t>
  </si>
  <si>
    <t>8.65</t>
  </si>
  <si>
    <t>9.90</t>
  </si>
  <si>
    <t>Liceul Tehnologic Bratianu</t>
  </si>
  <si>
    <t>Economic</t>
  </si>
  <si>
    <t>Colegiul National "Samuel Von Brukenthal" Sibiu</t>
  </si>
  <si>
    <t>Influența foștilor colegi de liceu</t>
  </si>
  <si>
    <t>Prezentarea specializării în liceu</t>
  </si>
  <si>
    <t>8.7</t>
  </si>
  <si>
    <t>8.95</t>
  </si>
  <si>
    <t>Mă pasionează domeniul, Voi găsi usor loc de muncă, Influența părinților, Influența foștilor colegi de liceu</t>
  </si>
  <si>
    <t>a) toti studentii au in fata aceleasi materiale didactice
b) se ofera un test grila dupa parcurgerea materialelor
c) studentii discuta raspunsurile la fiecare intrebare
d) observa impreuna ce au facut bine si ce nu</t>
  </si>
  <si>
    <t>8.53</t>
  </si>
  <si>
    <t>8.85</t>
  </si>
  <si>
    <t>8.00</t>
  </si>
  <si>
    <t>Bacau</t>
  </si>
  <si>
    <t>Colegiu National "Ferdinand I" Bacau</t>
  </si>
  <si>
    <t>Voi găsi usor loc de muncă, Prezentarea specializării în liceu</t>
  </si>
  <si>
    <t>mă duc la bibliotecă, caut online, întreb prietenii, ziare online</t>
  </si>
  <si>
    <t>Instagram + 1-2h</t>
  </si>
  <si>
    <t>Zilnic</t>
  </si>
  <si>
    <t>a) sa accepte trimiterea de fisiere 
b) sa permita apelurile 
c) sa contina un document comun, accesibil pentru toti membrii grupului de studenti</t>
  </si>
  <si>
    <t>9.58</t>
  </si>
  <si>
    <t>Liceul economic "George Baritiu"</t>
  </si>
  <si>
    <t>Contabilitate-engleza</t>
  </si>
  <si>
    <t>mă duc la bibliotecă, caut online</t>
  </si>
  <si>
    <t>INSTAGRAM:&lt;1H</t>
  </si>
  <si>
    <t>&gt;16</t>
  </si>
  <si>
    <t>a)este cunoscuta si utilizata de multe persoane
b)imbina utilul cu placutul</t>
  </si>
  <si>
    <t xml:space="preserve">Liceul Tehnologic Bratianu </t>
  </si>
  <si>
    <t>Instagram &lt;1h</t>
  </si>
  <si>
    <t>M3</t>
  </si>
  <si>
    <t>9.05</t>
  </si>
  <si>
    <t>Mă pasionează domeniul, Influența părinților</t>
  </si>
  <si>
    <t>8.46</t>
  </si>
  <si>
    <t>9.60</t>
  </si>
  <si>
    <t>7.90</t>
  </si>
  <si>
    <t>Colegiul National ,,Gheorghe Lazar" Sibiu</t>
  </si>
  <si>
    <t>Mă pasionează domeniul, Voi găsi usor loc de muncă, Influența părinților</t>
  </si>
  <si>
    <t>&gt;101</t>
  </si>
  <si>
    <t>7.73</t>
  </si>
  <si>
    <t>6.20</t>
  </si>
  <si>
    <t>Filologie</t>
  </si>
  <si>
    <t>Voi găsi usor loc de muncă, poate mi se potriveste</t>
  </si>
  <si>
    <t>1,51-1,60</t>
  </si>
  <si>
    <t>caut online, întreb prietenii, intreb parintii</t>
  </si>
  <si>
    <t>snapchat &lt;1h</t>
  </si>
  <si>
    <t>a) nu inveti singur
b) poate fi ceva motivant cand nu exista dispozitia necesara
c) retinerea mai eficienta si usoara pe termen lung a informatilor in urma dezbaterilor</t>
  </si>
  <si>
    <t>8.48</t>
  </si>
  <si>
    <t>8.81</t>
  </si>
  <si>
    <t>9.3</t>
  </si>
  <si>
    <t>Deva</t>
  </si>
  <si>
    <t>Colegiul National Decebal Deva</t>
  </si>
  <si>
    <t>Pinterest &lt;1h</t>
  </si>
  <si>
    <t>a) In momentul in care lucrezi sa fie blocat accesul pe restul site-ului
b) Sa fie optiuni de video si audio
c) Optiuni de simboluri speciale pt materiile stiintifice</t>
  </si>
  <si>
    <t>9.70</t>
  </si>
  <si>
    <t>Mă pasionează domeniul, Voi găsi usor loc de muncă, Prezentarea specializării în liceu</t>
  </si>
  <si>
    <t>caut online, întreb prietenii, televizor, ziare online</t>
  </si>
  <si>
    <t>a) grupuri de studiu
b) subiecte comune de studiu</t>
  </si>
  <si>
    <t>Liceul Teoretic Constantin Noica Sibiu</t>
  </si>
  <si>
    <t>7.68</t>
  </si>
  <si>
    <t>8.2</t>
  </si>
  <si>
    <t>7.8</t>
  </si>
  <si>
    <t>Liceul National "Gheorghe Lazar" Sibiu</t>
  </si>
  <si>
    <t>&gt;1,90</t>
  </si>
  <si>
    <t>a)Am invata mai mult 
b) asa i-am ajuta si pe alti colegi care nu au fost la cursuri
c)imbinam placutul cu utilul.</t>
  </si>
  <si>
    <t>Brasov</t>
  </si>
  <si>
    <t>a) Putem avea mereu acces
b) Retin mult mai repede din discutiile cu alte persoane
c) Motiveaza elevii</t>
  </si>
  <si>
    <t>9.9</t>
  </si>
  <si>
    <t>liceul Teoretic "ion codru dragusanu"</t>
  </si>
  <si>
    <t>-un grup cu locatia fiecaruia pentru a se putea gasi
-mediatizarea in cazul unei reusite
-aplicatii sau carti online cu diferite materiale referitoare la specializarile profilelor</t>
  </si>
  <si>
    <t>8.11</t>
  </si>
  <si>
    <t>7.40</t>
  </si>
  <si>
    <t>Talmaciu</t>
  </si>
  <si>
    <t>Liceul Tehnologic J. Lebel</t>
  </si>
  <si>
    <t>Tehnologic</t>
  </si>
  <si>
    <t>Instagram 1h&lt;
Snapchat 1h&lt;</t>
  </si>
  <si>
    <t>a)Interfata atragatoare
b)Comunitate restransa
c)Informatii utile</t>
  </si>
  <si>
    <t>8.66</t>
  </si>
  <si>
    <t>9.75</t>
  </si>
  <si>
    <t>8.30</t>
  </si>
  <si>
    <t>colegiul National "Doamna Stanca" Fagaras</t>
  </si>
  <si>
    <t>a) Multi tineri ar fi mult mai captivati de aceasta ideea
b) Am imbina placutul cu utilul
c) S.ar putea face teme impreuna iar totodata fiecare de acasa</t>
  </si>
  <si>
    <t>Colegiul National "Alexandru Lahovari"</t>
  </si>
  <si>
    <t>Instagram+1h
Snapchat+1h</t>
  </si>
  <si>
    <t>Colegiul National "Doamna Stanca" Fagaras</t>
  </si>
  <si>
    <t>Nu am cont la alte retele de socializare</t>
  </si>
  <si>
    <t>a) Interactionarea cu noi persoane si schimbul de idei
b) Majoritatea tineriilor au cont de facebook
c) Ne putem lamuri probleme mai repede</t>
  </si>
  <si>
    <t>7.7</t>
  </si>
  <si>
    <t>8.8</t>
  </si>
  <si>
    <t>Liceul "Constantin Brancoveanu" Horezu</t>
  </si>
  <si>
    <t>tehnician electric</t>
  </si>
  <si>
    <t>Mă pasionează domeniul, Voi găsi usor loc de muncă, Influența părinților, Prezentarea specializării în mass media</t>
  </si>
  <si>
    <t>instagram - 1h/zi
snapchat - 1/2h/zi</t>
  </si>
  <si>
    <t xml:space="preserve">Gasirea rapida de informatii necesare </t>
  </si>
  <si>
    <t>Voi găsi usor loc de muncă, Influența părinților, Prezentarea specializării în mass media</t>
  </si>
  <si>
    <t>whatapp  &lt;1h</t>
  </si>
  <si>
    <t>lumea este deja prea prinsa de tehnologie si majoritatea nu mai stiu sa socializeze in realitate. Daca ar exista o solutie de invatare virtuala asta ar incuraja si mai mult persoanele sa se inchida fata de restul di usor vom fii cu totii controlati sau dependenti de orice e virtual.</t>
  </si>
  <si>
    <t>Instagram - 2-3 h/zi</t>
  </si>
  <si>
    <t>8.76</t>
  </si>
  <si>
    <t>9.65</t>
  </si>
  <si>
    <t>Alba</t>
  </si>
  <si>
    <t>IMC</t>
  </si>
  <si>
    <t>caprui-verzui</t>
  </si>
  <si>
    <t>Pentru a cere parere despre un subiect, mai multor persoane.
Pentru a discuta un subiect.
Pentru a invata intr-un mediu in care iti face placere.</t>
  </si>
  <si>
    <t>7.45</t>
  </si>
  <si>
    <t>Drăgănești-Olt</t>
  </si>
  <si>
    <t>Liceul Teoretic "Tudor Vladimirescu"</t>
  </si>
  <si>
    <t>Tumblr + 1-2h</t>
  </si>
  <si>
    <t>8.20</t>
  </si>
  <si>
    <t>6.61</t>
  </si>
  <si>
    <t>6.25</t>
  </si>
  <si>
    <t xml:space="preserve">LTT Calimanesti </t>
  </si>
  <si>
    <t>a) pot discuta in mod direct despre un anume subiect , pot face o dezbatere 
b) pot face schimb de ideei
c) discutand direct de subiecte importante ii pot ajuta si pe ceilalti sa adune informatii</t>
  </si>
  <si>
    <t>78 puncte</t>
  </si>
  <si>
    <t>Colegiul Economic ,,Maria Teiuleanu,, Pitesti</t>
  </si>
  <si>
    <t>Comert</t>
  </si>
  <si>
    <t>Copiez de la colegi</t>
  </si>
  <si>
    <t>6.3</t>
  </si>
  <si>
    <t>9.1</t>
  </si>
  <si>
    <t>5.9</t>
  </si>
  <si>
    <t>mecanic 2</t>
  </si>
  <si>
    <t>electronica si automatizari</t>
  </si>
  <si>
    <t>9gag+1</t>
  </si>
  <si>
    <t>7.48</t>
  </si>
  <si>
    <t>Tilisca</t>
  </si>
  <si>
    <t>9.10</t>
  </si>
  <si>
    <t>9.46</t>
  </si>
  <si>
    <t>8.4</t>
  </si>
  <si>
    <t>Sura Mica</t>
  </si>
  <si>
    <t>Liceu National "O.Goga"</t>
  </si>
  <si>
    <t>Freelancer 1-2h</t>
  </si>
  <si>
    <t>a)Rezolvarea rapida a problemelor
b)Diversitate
c)Interes comun</t>
  </si>
  <si>
    <t>Șelimbăr</t>
  </si>
  <si>
    <t xml:space="preserve">Liceul National "Octavian Goga" </t>
  </si>
  <si>
    <t>Tumblr + &lt;1h</t>
  </si>
  <si>
    <t>a) nu ar trebui efectuata in cadrul retelei de socializare Facebook
b) ar trebui întocmit un forum special pe mai multe subiecte
c) pentru o mai buna desfășurare a aplicației ar trebui evaluati toți membrii, printr-un eventual chestionar pentru a evidenția aptitudinile minimale la tema (materia) respectivă</t>
  </si>
  <si>
    <t>18/20</t>
  </si>
  <si>
    <t>Colegiu Energetic Rm. Valcea</t>
  </si>
  <si>
    <t>Tehnic</t>
  </si>
  <si>
    <t>8.75</t>
  </si>
  <si>
    <t>Orhei</t>
  </si>
  <si>
    <t xml:space="preserve">Colegiul National "Octavian Goga" </t>
  </si>
  <si>
    <t>www.zhyk.ru
https://geekbrains.ru/</t>
  </si>
  <si>
    <t xml:space="preserve">Ideea este bună atăta timp căt studentii nu vor accesa si alte servicii prestate de Facebook. Produsul Soft ar fi mai bun dacă s-ar realiza independent de Facebook. </t>
  </si>
  <si>
    <t>Utilizatorii vor fi foarte familiarizati cu aspectul aplicatiei si o sa se descurce foarte bine, invatarea unor lucruri noi si ideea de colectiv prin care ajuti cateva persoane care au nevoie de ajutor.</t>
  </si>
  <si>
    <t>Antim Ivireanu</t>
  </si>
  <si>
    <t>Colegiul Economic "George Baritiu" Sibiu</t>
  </si>
  <si>
    <t>Contabilitate</t>
  </si>
  <si>
    <t xml:space="preserve">a) posibilitatea de apel video
b) chat 
c) posibilitatea de a vizualiza in accelasi timp un document </t>
  </si>
  <si>
    <t>18 puncte</t>
  </si>
  <si>
    <t>9.36</t>
  </si>
  <si>
    <t>9.07</t>
  </si>
  <si>
    <t>Colegiul National "Lucian Blaga" Sebes</t>
  </si>
  <si>
    <t>a) apel video / vocal
b) caractere speciale de tip text ( exponent etc )</t>
  </si>
  <si>
    <t>8.51</t>
  </si>
  <si>
    <t>7.80</t>
  </si>
  <si>
    <t>CNGL Sibiu</t>
  </si>
  <si>
    <t>Instagram 2-3 h</t>
  </si>
  <si>
    <t>a)permite comunicarea cu studenti din alte tari sau orase</t>
  </si>
  <si>
    <t>7.66</t>
  </si>
  <si>
    <t>Braila</t>
  </si>
  <si>
    <t xml:space="preserve">Liceul Teoretic Panait Cerna </t>
  </si>
  <si>
    <t>7.08</t>
  </si>
  <si>
    <t>8.1</t>
  </si>
  <si>
    <t>Avrig</t>
  </si>
  <si>
    <t xml:space="preserve">Liceul Teoretic "Onisifor Ghibu" </t>
  </si>
  <si>
    <t>caut online, televizor</t>
  </si>
  <si>
    <t>a) studentii ar socializa mai usor fiecare fiind in locuri diferite
b) nu ar mai fi necesara adunarea intr-un loc pentru a realiza un proiect
c) tinerii sunt atrasi de retelele de socializare si astfel ar fi atrasi si de aceasta solutie</t>
  </si>
  <si>
    <t>8.91</t>
  </si>
  <si>
    <t>9.40</t>
  </si>
  <si>
    <t>caut online, întreb prietenii, televizor</t>
  </si>
  <si>
    <t>Instagram + &lt;1h
Snapchat + &lt;1h</t>
  </si>
  <si>
    <t xml:space="preserve">a) socializare intre studenti
b) usor de accesat
c) studentii sunt mult mai atenti </t>
  </si>
  <si>
    <t>8.05</t>
  </si>
  <si>
    <t>7.60</t>
  </si>
  <si>
    <t>Liceul teoretic Axente Sever</t>
  </si>
  <si>
    <t>8.40</t>
  </si>
  <si>
    <t>7.65</t>
  </si>
  <si>
    <t>7.55</t>
  </si>
  <si>
    <t>Colegiul National Gheorghe Lazar</t>
  </si>
  <si>
    <t>19/20</t>
  </si>
  <si>
    <t>Liceul Teoretic "Onisifor Ghibu" Sibiu</t>
  </si>
  <si>
    <t>Colegiul National "I.M.Claim"</t>
  </si>
  <si>
    <t xml:space="preserve">a) sa aiba acces la ea toti studentii de la o anumita specializare
b) tot timpul sa poate fii urcate materiale noi in cadrul acestui mediu
c) sa exista cineva care in cazul in care sunt incarcate materiale care nu prea au legatura cu studiu sa le sterga (sa ramana strict un mediu de invatat ) </t>
  </si>
  <si>
    <t>8.72</t>
  </si>
  <si>
    <t>7.35</t>
  </si>
  <si>
    <t>Onisifor Ghibu Sibiu</t>
  </si>
  <si>
    <t>Colegiul National Mircea Cel Batran</t>
  </si>
  <si>
    <t xml:space="preserve">Instagram - 24h\24h </t>
  </si>
  <si>
    <t>7.96</t>
  </si>
  <si>
    <t>7.63</t>
  </si>
  <si>
    <t>Colegiul National David Prodan Cugir</t>
  </si>
  <si>
    <t>Whatsapp-1-2h</t>
  </si>
  <si>
    <t>8.07</t>
  </si>
  <si>
    <t>Mangalia</t>
  </si>
  <si>
    <t>Liceul Teoretic Callatis Mangalia</t>
  </si>
  <si>
    <t>Instagram + 2 ore/zi
Snapchat + 1 ora/zi
Tumblr + 2ore/zi
Pinterest + &gt;1 ora/zi</t>
  </si>
  <si>
    <t>Securitate
Video chat group
Acces rapid, simplist, care sa nu derive de la scopul principal</t>
  </si>
  <si>
    <t>a)Ar fi mai usor pentru studenti sa isi gaseasca un grup de studiu
b)Socializarea
c)Studiul in grup este mai benefic decat cel individual</t>
  </si>
  <si>
    <t>Liceul Teoretic Onisifor Ghibu Sibiu</t>
  </si>
  <si>
    <t>a) informatiile sunt usor de trimis
b) poti invata in "mediul tau"
c) e mai usor sa memorezi cand poti comunica , cu prietenii oricand</t>
  </si>
  <si>
    <t>17/20</t>
  </si>
  <si>
    <t>9.6</t>
  </si>
  <si>
    <t>6.85</t>
  </si>
  <si>
    <t>mă duc la bibliotecă</t>
  </si>
  <si>
    <t xml:space="preserve">Instagram-1 h/zi . </t>
  </si>
  <si>
    <t>a) nu pot sa se concentreze
b) e preferabil sa nu invete in mediul virtual</t>
  </si>
  <si>
    <t>9.28</t>
  </si>
  <si>
    <t>Darlos</t>
  </si>
  <si>
    <t>Scoala Nationala de Gaz Medias</t>
  </si>
  <si>
    <t>Tehnician Electronist</t>
  </si>
  <si>
    <t>a) Posibilitatea accesari de acasa.
b)Lipsa presiunii pe care o ai in timpul orelor.
c)Disponibilitatea pentru persoanele care au diferite probleme.</t>
  </si>
  <si>
    <t>Colegiul National Alexandru Lahovari</t>
  </si>
  <si>
    <t>Instagram &lt;1 h
Snapchat &lt; 1 h</t>
  </si>
  <si>
    <t>a) studentii ar trebui sa isi dea interesul</t>
  </si>
  <si>
    <t>7.75</t>
  </si>
  <si>
    <t>9.31</t>
  </si>
  <si>
    <t>Liceul Teoretic Preda Buzescu Berbesti</t>
  </si>
  <si>
    <t>a) ar fi mai usor pentru studenti sa invete 
b) spirit de echipa</t>
  </si>
  <si>
    <t>Scoala Nationala de Gaz</t>
  </si>
  <si>
    <t>Tehnician electronist</t>
  </si>
  <si>
    <t>Tumblr-1h/zi</t>
  </si>
  <si>
    <t>6.60</t>
  </si>
  <si>
    <t>7.76</t>
  </si>
  <si>
    <t>Liceul Teoretic "Onisifor Ghibu"</t>
  </si>
  <si>
    <t>16 puncte din 20</t>
  </si>
  <si>
    <t xml:space="preserve">Colegiul National Lucian Blaga Sebes </t>
  </si>
  <si>
    <t>ziare</t>
  </si>
  <si>
    <t>8.71</t>
  </si>
  <si>
    <t>Colegiul National Octavian Goga</t>
  </si>
  <si>
    <t>instragram 2h
snapchat 1h</t>
  </si>
  <si>
    <t>impartasirea de idei
invatare rapida</t>
  </si>
  <si>
    <t>17 puncte</t>
  </si>
  <si>
    <t>7.25</t>
  </si>
  <si>
    <t>Teoretic "Onisifor Ghibu"</t>
  </si>
  <si>
    <t>Telefon</t>
  </si>
  <si>
    <t>a)Socializare
b)Informare</t>
  </si>
  <si>
    <t>8.18</t>
  </si>
  <si>
    <t>8.5</t>
  </si>
  <si>
    <t>7.6</t>
  </si>
  <si>
    <t>Colegiul National " O. Goga" Sibiu</t>
  </si>
  <si>
    <t>Facebook &lt;1h
Pininterst &lt;1h</t>
  </si>
  <si>
    <t>6-10</t>
  </si>
  <si>
    <t>7.1</t>
  </si>
  <si>
    <t>7.9</t>
  </si>
  <si>
    <t>8.58</t>
  </si>
  <si>
    <t>Tehologic Henri Coanda</t>
  </si>
  <si>
    <t>Tehnician in automatizari</t>
  </si>
  <si>
    <t>a)</t>
  </si>
  <si>
    <t>6.23</t>
  </si>
  <si>
    <t>6.30</t>
  </si>
  <si>
    <t>Liceul Economic George Baritiu Sibiu</t>
  </si>
  <si>
    <t>Servicii</t>
  </si>
  <si>
    <t>ziare online</t>
  </si>
  <si>
    <t>9.04</t>
  </si>
  <si>
    <t>verzi-caprui</t>
  </si>
  <si>
    <t>16/20</t>
  </si>
  <si>
    <t>9.18</t>
  </si>
  <si>
    <t>Ocna Sibiului</t>
  </si>
  <si>
    <t>Whatsapp-1h
snapchat-10 min</t>
  </si>
  <si>
    <t>Axente Sever</t>
  </si>
  <si>
    <t>Liceul Tehnologic "Nicolae Teclu" Copsa Mica</t>
  </si>
  <si>
    <t>Tehnician operator tehnica de calcul</t>
  </si>
  <si>
    <t>13/20</t>
  </si>
  <si>
    <t>7.4</t>
  </si>
  <si>
    <t>5.8</t>
  </si>
  <si>
    <t>Petrila</t>
  </si>
  <si>
    <t>Colegiul Economic Rm. Valcea</t>
  </si>
  <si>
    <t>Industrie Alimentara</t>
  </si>
  <si>
    <t>a) Putem sa impartasim cunostintele cu ceilalti colegi;
b) In cazul in care nu stim, putem cere ajutorul colegilor</t>
  </si>
  <si>
    <t>7.93</t>
  </si>
  <si>
    <t>Energetic</t>
  </si>
  <si>
    <t>Electric</t>
  </si>
  <si>
    <t>Snapchat 15 min max. instagram &lt;30 min. Whats app , depinde.</t>
  </si>
  <si>
    <t>8.28</t>
  </si>
  <si>
    <t>7.98</t>
  </si>
  <si>
    <t>Colegiul National Radu Greceanu</t>
  </si>
  <si>
    <t>Mă pasionează domeniul, Prezentarea specializării în liceu</t>
  </si>
  <si>
    <t>Lic. Teoretic Axente Sever</t>
  </si>
  <si>
    <t>a) contorizarea timpului petrecut invatand, prin nivele
b) teste date prin a se asigura ca s-a retinut ceea ce trebuie
c) favorizarea muncii in echipa</t>
  </si>
  <si>
    <t>15 /20</t>
  </si>
  <si>
    <t>7.89</t>
  </si>
  <si>
    <t>tehnologic</t>
  </si>
  <si>
    <t>a) sa fie implicati si profesori
b) sa fie necesar ca fiecare sa fie implicat</t>
  </si>
  <si>
    <t>9.2</t>
  </si>
  <si>
    <t>Colegiul National ”Gheorghe Lazar” Sibiu</t>
  </si>
  <si>
    <t>a) Lucrul in echipa de acasa.</t>
  </si>
  <si>
    <t>Sebes</t>
  </si>
  <si>
    <t>Colegiul National Lucian Blaga</t>
  </si>
  <si>
    <t>a) activitate relaxata
b) lucrul de acasa
c) acces usor la aplicatie</t>
  </si>
  <si>
    <t>Liceul teoretic "Onisifor Ghibu" Sibiu</t>
  </si>
  <si>
    <t>inca incerc sa gasesc motivul</t>
  </si>
  <si>
    <t>Nu folosesc alte retele de socializare.</t>
  </si>
  <si>
    <t>a) Sa fie relaxant
b) Sa aiba acces la diferite materiale mai greu de gasit
c) Interfata usor de folosit</t>
  </si>
  <si>
    <t>Cugir</t>
  </si>
  <si>
    <t>Colegiul National "David Prodan"</t>
  </si>
  <si>
    <t>Voi găsi usor loc de muncă, Influența părinților, Prezentarea specializării în liceu</t>
  </si>
  <si>
    <t>9.33</t>
  </si>
  <si>
    <t>Whatsapp &lt;1hr</t>
  </si>
  <si>
    <t>Resurse putine utilizate</t>
  </si>
  <si>
    <t>LTT Calimanesti</t>
  </si>
  <si>
    <t>8.31</t>
  </si>
  <si>
    <t>9.85</t>
  </si>
  <si>
    <t>Lucrez in domeniu</t>
  </si>
  <si>
    <t>9.21</t>
  </si>
  <si>
    <t>Whatapp</t>
  </si>
  <si>
    <t>a) generare de chestionare specifice fiecarui membru
b) optiune de livestream
c) sistem de notare</t>
  </si>
  <si>
    <t>Alimentatie Publica</t>
  </si>
  <si>
    <t>Instagram + &lt;1h</t>
  </si>
  <si>
    <t>Schimbul de pareri
Socializare
Inveti mai usor+mai repede</t>
  </si>
  <si>
    <t>Colegiul Economic "George Baritiu"</t>
  </si>
  <si>
    <t>Instagram + 1
What's App +1</t>
  </si>
  <si>
    <t>a)Colaborare real-time
b)Fiecare student are propriul sau pc
c)Liniste</t>
  </si>
  <si>
    <t>caut online, întreb prietenii, televizor, radio, ziare online</t>
  </si>
  <si>
    <t xml:space="preserve">Colegiul National Economic"Andrei Barseanu" </t>
  </si>
  <si>
    <t>11-15</t>
  </si>
  <si>
    <t>a) conectivitate
b) mai multe perspective de rezolvat o problema
c) mai rapid</t>
  </si>
  <si>
    <t>9.19</t>
  </si>
  <si>
    <t>Electronica</t>
  </si>
  <si>
    <t>Nu am ideei.</t>
  </si>
  <si>
    <t>nu mai stiu</t>
  </si>
  <si>
    <t>"Inochente Micu Clain" Blaj</t>
  </si>
  <si>
    <t>9.38</t>
  </si>
  <si>
    <t>Instagram + 1
Tumblr + 2
Pinterest + &lt;1</t>
  </si>
  <si>
    <t>8.37</t>
  </si>
  <si>
    <t>8.90</t>
  </si>
  <si>
    <t>Calimanesti</t>
  </si>
  <si>
    <t>tehnologic de turism calimanesti</t>
  </si>
  <si>
    <t/>
  </si>
  <si>
    <t>Colegiul National ,,Octavian Goga" Sibiu</t>
  </si>
  <si>
    <t>WhatsApp - 2h</t>
  </si>
  <si>
    <t>a) Posibilitatea ca diferiti studenti din localitati diferite sa lucreze pe aceeasi problema</t>
  </si>
  <si>
    <t>9.71</t>
  </si>
  <si>
    <t>9.95</t>
  </si>
  <si>
    <t>Sebeș,jud Alba</t>
  </si>
  <si>
    <t>Colegiul Național "Lucian Blaga" Sebeș</t>
  </si>
  <si>
    <t>a)pot sa participe toti stundentii interesati fara sa fie problema lipsei de spatiu
b) este un mod foarte comod in care poti invata astfel sunt atrasi si studentii mai "lenesi"</t>
  </si>
  <si>
    <t xml:space="preserve">Colegiul Național "Gheorghe Lazăr" </t>
  </si>
  <si>
    <t>verzi spre căprui</t>
  </si>
  <si>
    <t>Instagram - &lt;1h</t>
  </si>
  <si>
    <t>Preda Buzescu-Berbesti</t>
  </si>
  <si>
    <t>whats'app+2-3 ore</t>
  </si>
  <si>
    <t>a)lucrul in echipa; b)schimbul de informatii; c)rezolvarea multor neintelegeri</t>
  </si>
  <si>
    <t>7.20</t>
  </si>
  <si>
    <t>Colegiul Național "Gheorghe Lazăr" Sibiu</t>
  </si>
  <si>
    <t>Instagram - 1h/zi</t>
  </si>
  <si>
    <t>a) să fie posibilă discutarea ideilor
b) împărtășire de opinii
c) explicarea într-o mainieră mai simpla a anumitor noțiuni</t>
  </si>
  <si>
    <t>9.76</t>
  </si>
  <si>
    <t>Cisnădie</t>
  </si>
  <si>
    <t>CNOG</t>
  </si>
  <si>
    <t>Instagram 1-2h</t>
  </si>
  <si>
    <t>exercitiu 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</si>
</sst>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readingOrder="0" vertical="bottom"/>
    </xf>
    <xf borderId="0" fillId="0" fontId="1" numFmtId="164" xfId="0" applyAlignment="1" applyFont="1" applyNumberFormat="1">
      <alignment horizontal="right" vertical="bottom"/>
    </xf>
    <xf borderId="0" fillId="0" fontId="1" numFmtId="14" xfId="0" applyAlignment="1" applyFont="1" applyNumberFormat="1">
      <alignment horizontal="right" vertical="bottom"/>
    </xf>
    <xf borderId="0" fillId="0" fontId="1" numFmtId="9" xfId="0" applyAlignment="1" applyFont="1" applyNumberForma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vertical="bottom"/>
    </xf>
    <xf borderId="0" fillId="0" fontId="1" numFmtId="3" xfId="0" applyAlignment="1" applyFont="1" applyNumberFormat="1">
      <alignment readingOrder="0" vertical="bottom"/>
    </xf>
    <xf borderId="0" fillId="0" fontId="1" numFmtId="14" xfId="0" applyAlignment="1" applyFont="1" applyNumberFormat="1">
      <alignment vertical="bottom"/>
    </xf>
    <xf borderId="0" fillId="0" fontId="1" numFmtId="3" xfId="0" applyAlignment="1" applyFont="1" applyNumberFormat="1">
      <alignment horizontal="right" vertical="bottom"/>
    </xf>
    <xf borderId="0" fillId="0" fontId="2" numFmtId="0" xfId="0" applyAlignment="1" applyFont="1">
      <alignment readingOrder="0"/>
    </xf>
    <xf borderId="0" fillId="0" fontId="2"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Foaie1-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Distribuire pe intervale</a:t>
            </a:r>
          </a:p>
        </c:rich>
      </c:tx>
      <c:overlay val="0"/>
    </c:title>
    <c:plotArea>
      <c:layout/>
      <c:barChart>
        <c:barDir val="col"/>
        <c:ser>
          <c:idx val="0"/>
          <c:order val="0"/>
          <c:spPr>
            <a:solidFill>
              <a:schemeClr val="accent1"/>
            </a:solidFill>
            <a:ln cmpd="sng">
              <a:solidFill>
                <a:srgbClr val="000000"/>
              </a:solidFill>
            </a:ln>
          </c:spPr>
          <c:val>
            <c:numRef>
              <c:f>Foaie1!$AV$2:$AV$5</c:f>
              <c:numCache/>
            </c:numRef>
          </c:val>
        </c:ser>
        <c:axId val="1997484600"/>
        <c:axId val="832374647"/>
      </c:barChart>
      <c:catAx>
        <c:axId val="19974846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2374647"/>
      </c:catAx>
      <c:valAx>
        <c:axId val="8323746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Distribuire pe intervale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74846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45</xdr:col>
      <xdr:colOff>361950</xdr:colOff>
      <xdr:row>5</xdr:row>
      <xdr:rowOff>257175</xdr:rowOff>
    </xdr:from>
    <xdr:ext cx="5715000" cy="3533775"/>
    <xdr:graphicFrame>
      <xdr:nvGraphicFramePr>
        <xdr:cNvPr id="1" name="Chart 1" title="Diagramă"/>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headerRowCount="0" ref="AT4:AZ129"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Foaie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3" max="3" width="21.38"/>
    <col customWidth="1" min="6" max="6" width="19.63"/>
    <col customWidth="1" min="7" max="8" width="16.25"/>
    <col customWidth="1" min="9" max="9" width="17.0"/>
    <col customWidth="1" min="15" max="15" width="22.38"/>
    <col customWidth="1" min="41" max="41" width="18.63"/>
    <col customWidth="1" min="42" max="42" width="19.75"/>
    <col customWidth="1" min="43" max="43" width="19.13"/>
    <col customWidth="1" min="44" max="44" width="18.13"/>
    <col customWidth="1" min="45" max="45" width="23.5"/>
    <col customWidth="1" min="46" max="51" width="26.88"/>
    <col customWidth="1" min="52" max="52" width="15.88"/>
  </cols>
  <sheetData>
    <row r="1">
      <c r="A1" s="1" t="s">
        <v>0</v>
      </c>
      <c r="B1" s="2" t="s">
        <v>1</v>
      </c>
      <c r="C1" s="2" t="s">
        <v>2</v>
      </c>
      <c r="D1" s="2" t="s">
        <v>3</v>
      </c>
      <c r="E1" s="2" t="s">
        <v>4</v>
      </c>
      <c r="F1" s="2" t="s">
        <v>5</v>
      </c>
      <c r="G1" s="2"/>
      <c r="H1" s="2" t="s">
        <v>6</v>
      </c>
      <c r="I1" s="2" t="s">
        <v>7</v>
      </c>
      <c r="J1" s="2" t="s">
        <v>8</v>
      </c>
      <c r="K1" s="2" t="s">
        <v>9</v>
      </c>
      <c r="L1" s="2" t="s">
        <v>10</v>
      </c>
      <c r="M1" s="2" t="s">
        <v>11</v>
      </c>
      <c r="N1" s="2" t="s">
        <v>12</v>
      </c>
      <c r="O1" s="2" t="s">
        <v>13</v>
      </c>
      <c r="P1" s="1" t="s">
        <v>0</v>
      </c>
      <c r="Q1" s="2" t="s">
        <v>1</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37</v>
      </c>
      <c r="AQ1" s="2" t="s">
        <v>37</v>
      </c>
      <c r="AR1" s="2" t="s">
        <v>37</v>
      </c>
      <c r="AS1" s="3" t="s">
        <v>38</v>
      </c>
      <c r="AT1" s="3" t="s">
        <v>39</v>
      </c>
      <c r="AU1" s="3" t="s">
        <v>40</v>
      </c>
      <c r="AV1" s="3" t="s">
        <v>41</v>
      </c>
      <c r="AW1" s="3" t="s">
        <v>42</v>
      </c>
      <c r="AX1" s="3" t="s">
        <v>43</v>
      </c>
      <c r="AY1" s="2" t="s">
        <v>44</v>
      </c>
      <c r="AZ1" s="3" t="s">
        <v>45</v>
      </c>
    </row>
    <row r="2">
      <c r="A2" s="4"/>
      <c r="B2" s="5"/>
      <c r="C2" s="2"/>
      <c r="D2" s="2"/>
      <c r="E2" s="2"/>
      <c r="F2" s="2"/>
      <c r="G2" s="2"/>
      <c r="H2" s="2"/>
      <c r="I2" s="2"/>
      <c r="J2" s="2"/>
      <c r="K2" s="2"/>
      <c r="L2" s="2"/>
      <c r="M2" s="2"/>
      <c r="N2" s="2"/>
      <c r="O2" s="2"/>
      <c r="P2" s="4"/>
      <c r="Q2" s="5"/>
      <c r="R2" s="2"/>
      <c r="S2" s="2"/>
      <c r="T2" s="2"/>
      <c r="U2" s="2"/>
      <c r="V2" s="2"/>
      <c r="W2" s="2"/>
      <c r="X2" s="2"/>
      <c r="Y2" s="2"/>
      <c r="Z2" s="2"/>
      <c r="AA2" s="2"/>
      <c r="AB2" s="2"/>
      <c r="AC2" s="2"/>
      <c r="AD2" s="2"/>
      <c r="AE2" s="2"/>
      <c r="AF2" s="2"/>
      <c r="AG2" s="2"/>
      <c r="AH2" s="2"/>
      <c r="AI2" s="2"/>
      <c r="AJ2" s="2"/>
      <c r="AK2" s="2"/>
      <c r="AL2" s="2"/>
      <c r="AM2" s="2"/>
      <c r="AN2" s="2"/>
      <c r="AO2" s="2"/>
      <c r="AP2" s="2"/>
      <c r="AQ2" s="2"/>
      <c r="AR2" s="2"/>
      <c r="AS2" s="2" t="str">
        <f>if(COUNTA(AO4:AR129)=4,AVERAGE(AO4:AR4),"nu pot calcula")</f>
        <v>nu pot calcula</v>
      </c>
      <c r="AT2" s="2" t="str">
        <f t="array" ref="AT2:AU2">SORT(AO4:AR129)</f>
        <v>#REF!</v>
      </c>
      <c r="AU2" s="6">
        <f>AVERAGE(AW2:AW3)</f>
        <v>59</v>
      </c>
      <c r="AV2" s="2">
        <f>COUNTIFS(AZ5:AZ129,"&gt;=1",AZ5:AZ129,"&lt;5")</f>
        <v>4</v>
      </c>
      <c r="AW2" s="2">
        <f>COUNTIF(AZ5:AZ129,"&gt;=5")</f>
        <v>114</v>
      </c>
      <c r="AX2" s="2" t="b">
        <f>IF(ISBLANK(AZ5:AZ129),0)</f>
        <v>0</v>
      </c>
      <c r="AY2" s="2"/>
      <c r="AZ2" s="2"/>
    </row>
    <row r="3">
      <c r="A3" s="4">
        <v>42653.371703055556</v>
      </c>
      <c r="B3" s="5">
        <v>39448.0</v>
      </c>
      <c r="C3" s="2" t="s">
        <v>46</v>
      </c>
      <c r="D3" s="2" t="s">
        <v>47</v>
      </c>
      <c r="E3" s="2" t="s">
        <v>48</v>
      </c>
      <c r="F3" s="2" t="s">
        <v>49</v>
      </c>
      <c r="G3" s="2"/>
      <c r="H3" s="2" t="s">
        <v>50</v>
      </c>
      <c r="I3" s="2" t="s">
        <v>51</v>
      </c>
      <c r="J3" s="2" t="s">
        <v>52</v>
      </c>
      <c r="K3" s="2" t="s">
        <v>53</v>
      </c>
      <c r="L3" s="2" t="s">
        <v>54</v>
      </c>
      <c r="M3" s="2" t="s">
        <v>55</v>
      </c>
      <c r="N3" s="2"/>
      <c r="O3" s="2" t="s">
        <v>56</v>
      </c>
      <c r="P3" s="4">
        <v>36243.37170138889</v>
      </c>
      <c r="Q3" s="5">
        <v>33038.37170138889</v>
      </c>
      <c r="R3" s="2" t="s">
        <v>57</v>
      </c>
      <c r="S3" s="2" t="s">
        <v>57</v>
      </c>
      <c r="T3" s="2" t="s">
        <v>58</v>
      </c>
      <c r="U3" s="2"/>
      <c r="V3" s="2"/>
      <c r="W3" s="2" t="s">
        <v>59</v>
      </c>
      <c r="X3" s="2" t="s">
        <v>59</v>
      </c>
      <c r="Y3" s="2" t="s">
        <v>60</v>
      </c>
      <c r="Z3" s="2" t="s">
        <v>61</v>
      </c>
      <c r="AA3" s="2" t="s">
        <v>62</v>
      </c>
      <c r="AB3" s="2" t="s">
        <v>63</v>
      </c>
      <c r="AC3" s="2"/>
      <c r="AD3" s="2"/>
      <c r="AE3" s="2"/>
      <c r="AF3" s="2"/>
      <c r="AG3" s="2"/>
      <c r="AH3" s="2"/>
      <c r="AI3" s="2"/>
      <c r="AJ3" s="2"/>
      <c r="AK3" s="2"/>
      <c r="AL3" s="2"/>
      <c r="AM3" s="2"/>
      <c r="AN3" s="2"/>
      <c r="AO3" s="2"/>
      <c r="AP3" s="2"/>
      <c r="AQ3" s="2"/>
      <c r="AR3" s="2"/>
      <c r="AS3" s="2"/>
      <c r="AT3" s="2"/>
      <c r="AU3" s="2"/>
      <c r="AV3" s="2">
        <f>COUNTIFS(AZ5:AZ129,"&gt;=5",AZ5:AZ129,"&lt;7")</f>
        <v>57</v>
      </c>
      <c r="AW3" s="2">
        <f>COUNTIF(AZ5:AZ129,"&lt;5")</f>
        <v>4</v>
      </c>
      <c r="AX3" s="2"/>
      <c r="AY3" s="2"/>
      <c r="AZ3" s="2"/>
    </row>
    <row r="4">
      <c r="A4" s="4">
        <v>42653.40228400463</v>
      </c>
      <c r="B4" s="5">
        <v>35485.0</v>
      </c>
      <c r="C4" s="2" t="s">
        <v>46</v>
      </c>
      <c r="D4" s="2" t="s">
        <v>47</v>
      </c>
      <c r="E4" s="2" t="s">
        <v>64</v>
      </c>
      <c r="F4" s="2" t="s">
        <v>65</v>
      </c>
      <c r="G4" s="2"/>
      <c r="H4" s="2" t="s">
        <v>66</v>
      </c>
      <c r="I4" s="2" t="s">
        <v>67</v>
      </c>
      <c r="J4" s="2" t="s">
        <v>68</v>
      </c>
      <c r="K4" s="2" t="s">
        <v>53</v>
      </c>
      <c r="L4" s="2" t="s">
        <v>69</v>
      </c>
      <c r="M4" s="2" t="s">
        <v>70</v>
      </c>
      <c r="N4" s="2" t="s">
        <v>71</v>
      </c>
      <c r="O4" s="2" t="s">
        <v>72</v>
      </c>
      <c r="P4" s="4">
        <v>28317.402280092592</v>
      </c>
      <c r="Q4" s="5">
        <v>21149.402280092592</v>
      </c>
      <c r="R4" s="2" t="s">
        <v>57</v>
      </c>
      <c r="S4" s="2" t="s">
        <v>73</v>
      </c>
      <c r="T4" s="2" t="s">
        <v>57</v>
      </c>
      <c r="U4" s="2" t="s">
        <v>58</v>
      </c>
      <c r="V4" s="2"/>
      <c r="W4" s="2" t="s">
        <v>73</v>
      </c>
      <c r="X4" s="2" t="s">
        <v>73</v>
      </c>
      <c r="Y4" s="2" t="s">
        <v>60</v>
      </c>
      <c r="Z4" s="2" t="s">
        <v>60</v>
      </c>
      <c r="AA4" s="2" t="s">
        <v>62</v>
      </c>
      <c r="AB4" s="2" t="s">
        <v>74</v>
      </c>
      <c r="AC4" s="2" t="s">
        <v>74</v>
      </c>
      <c r="AD4" s="2" t="s">
        <v>75</v>
      </c>
      <c r="AE4" s="2" t="s">
        <v>76</v>
      </c>
      <c r="AF4" s="2" t="s">
        <v>63</v>
      </c>
      <c r="AG4" s="7">
        <v>16.0</v>
      </c>
      <c r="AH4" s="2" t="s">
        <v>77</v>
      </c>
      <c r="AI4" s="2" t="s">
        <v>78</v>
      </c>
      <c r="AJ4" s="2" t="s">
        <v>79</v>
      </c>
      <c r="AK4" s="2" t="s">
        <v>80</v>
      </c>
      <c r="AL4" s="2" t="s">
        <v>81</v>
      </c>
      <c r="AM4" s="2" t="s">
        <v>82</v>
      </c>
      <c r="AN4" s="2" t="s">
        <v>75</v>
      </c>
      <c r="AO4" s="2"/>
      <c r="AP4" s="2"/>
      <c r="AQ4" s="2"/>
      <c r="AR4" s="7">
        <v>7.0</v>
      </c>
      <c r="AS4" s="7"/>
      <c r="AT4" s="8"/>
      <c r="AU4" s="8"/>
      <c r="AV4" s="8">
        <f>COUNTIFS(AZ5:AZ129,"&gt;=7",AZ5:AZ129,"&lt;8")</f>
        <v>29</v>
      </c>
      <c r="AW4" s="8"/>
      <c r="AX4" s="8"/>
      <c r="AY4" s="8">
        <v>5.0</v>
      </c>
      <c r="AZ4" s="9"/>
    </row>
    <row r="5">
      <c r="A5" s="4">
        <v>42653.40303209491</v>
      </c>
      <c r="B5" s="5">
        <v>34853.0</v>
      </c>
      <c r="C5" s="2" t="s">
        <v>46</v>
      </c>
      <c r="D5" s="2" t="s">
        <v>47</v>
      </c>
      <c r="E5" s="2" t="s">
        <v>48</v>
      </c>
      <c r="F5" s="2" t="s">
        <v>83</v>
      </c>
      <c r="G5" s="2"/>
      <c r="H5" s="2" t="s">
        <v>66</v>
      </c>
      <c r="I5" s="2" t="s">
        <v>67</v>
      </c>
      <c r="J5" s="2" t="s">
        <v>68</v>
      </c>
      <c r="K5" s="2" t="s">
        <v>53</v>
      </c>
      <c r="L5" s="2" t="s">
        <v>84</v>
      </c>
      <c r="M5" s="2" t="s">
        <v>85</v>
      </c>
      <c r="N5" s="2" t="s">
        <v>86</v>
      </c>
      <c r="O5" s="2" t="s">
        <v>87</v>
      </c>
      <c r="P5" s="4">
        <v>27053.40303240741</v>
      </c>
      <c r="Q5" s="5">
        <v>19253.40303240741</v>
      </c>
      <c r="R5" s="2" t="s">
        <v>73</v>
      </c>
      <c r="S5" s="2" t="s">
        <v>57</v>
      </c>
      <c r="T5" s="2" t="s">
        <v>58</v>
      </c>
      <c r="U5" s="2" t="s">
        <v>58</v>
      </c>
      <c r="V5" s="2" t="s">
        <v>88</v>
      </c>
      <c r="W5" s="2" t="s">
        <v>59</v>
      </c>
      <c r="X5" s="2" t="s">
        <v>57</v>
      </c>
      <c r="Y5" s="2" t="s">
        <v>60</v>
      </c>
      <c r="Z5" s="2" t="s">
        <v>61</v>
      </c>
      <c r="AA5" s="2" t="s">
        <v>62</v>
      </c>
      <c r="AB5" s="2" t="s">
        <v>63</v>
      </c>
      <c r="AC5" s="2" t="s">
        <v>63</v>
      </c>
      <c r="AD5" s="2" t="s">
        <v>82</v>
      </c>
      <c r="AE5" s="2" t="s">
        <v>89</v>
      </c>
      <c r="AF5" s="2" t="s">
        <v>63</v>
      </c>
      <c r="AG5" s="7">
        <v>17.0</v>
      </c>
      <c r="AH5" s="2" t="s">
        <v>90</v>
      </c>
      <c r="AI5" s="2" t="s">
        <v>91</v>
      </c>
      <c r="AJ5" s="2" t="s">
        <v>79</v>
      </c>
      <c r="AK5" s="2" t="s">
        <v>92</v>
      </c>
      <c r="AL5" s="2" t="s">
        <v>82</v>
      </c>
      <c r="AM5" s="2" t="s">
        <v>93</v>
      </c>
      <c r="AN5" s="2" t="s">
        <v>82</v>
      </c>
      <c r="AO5" s="7">
        <v>4.0</v>
      </c>
      <c r="AP5" s="7">
        <v>4.0</v>
      </c>
      <c r="AQ5" s="7">
        <v>8.0</v>
      </c>
      <c r="AR5" s="7">
        <v>4.0</v>
      </c>
      <c r="AS5" s="7"/>
      <c r="AT5" s="8"/>
      <c r="AU5" s="8"/>
      <c r="AV5" s="8">
        <f>COUNTIFS(AZ5:AZ129,"&gt;=8",AZ5:AZ129,"&lt;10")</f>
        <v>26</v>
      </c>
      <c r="AW5" s="8"/>
      <c r="AX5" s="8"/>
      <c r="AY5" s="8">
        <v>6.0</v>
      </c>
      <c r="AZ5" s="10">
        <f t="shared" ref="AZ5:AZ16" si="1">AVERAGE(AO5:AR5)</f>
        <v>5</v>
      </c>
    </row>
    <row r="6">
      <c r="A6" s="4">
        <v>42653.40415598379</v>
      </c>
      <c r="B6" s="5">
        <v>35226.0</v>
      </c>
      <c r="C6" s="2" t="s">
        <v>46</v>
      </c>
      <c r="D6" s="2" t="s">
        <v>47</v>
      </c>
      <c r="E6" s="2" t="s">
        <v>48</v>
      </c>
      <c r="F6" s="2" t="s">
        <v>94</v>
      </c>
      <c r="G6" s="2"/>
      <c r="H6" s="2" t="s">
        <v>66</v>
      </c>
      <c r="I6" s="2" t="s">
        <v>51</v>
      </c>
      <c r="J6" s="2" t="s">
        <v>68</v>
      </c>
      <c r="K6" s="2" t="s">
        <v>53</v>
      </c>
      <c r="L6" s="2" t="s">
        <v>95</v>
      </c>
      <c r="M6" s="2" t="s">
        <v>55</v>
      </c>
      <c r="N6" s="2" t="s">
        <v>96</v>
      </c>
      <c r="O6" s="2" t="s">
        <v>97</v>
      </c>
      <c r="P6" s="4">
        <v>27800.404155092594</v>
      </c>
      <c r="Q6" s="5">
        <v>20372.404155092594</v>
      </c>
      <c r="R6" s="2" t="s">
        <v>57</v>
      </c>
      <c r="S6" s="2" t="s">
        <v>98</v>
      </c>
      <c r="T6" s="2" t="s">
        <v>58</v>
      </c>
      <c r="U6" s="2" t="s">
        <v>58</v>
      </c>
      <c r="V6" s="2" t="s">
        <v>99</v>
      </c>
      <c r="W6" s="2" t="s">
        <v>100</v>
      </c>
      <c r="X6" s="2" t="s">
        <v>57</v>
      </c>
      <c r="Y6" s="2" t="s">
        <v>60</v>
      </c>
      <c r="Z6" s="2" t="s">
        <v>101</v>
      </c>
      <c r="AA6" s="2" t="s">
        <v>62</v>
      </c>
      <c r="AB6" s="2" t="s">
        <v>63</v>
      </c>
      <c r="AC6" s="2" t="s">
        <v>63</v>
      </c>
      <c r="AD6" s="2" t="s">
        <v>75</v>
      </c>
      <c r="AE6" s="2" t="s">
        <v>102</v>
      </c>
      <c r="AF6" s="2" t="s">
        <v>63</v>
      </c>
      <c r="AG6" s="7">
        <v>19.0</v>
      </c>
      <c r="AH6" s="2" t="s">
        <v>103</v>
      </c>
      <c r="AI6" s="2" t="s">
        <v>104</v>
      </c>
      <c r="AJ6" s="2" t="s">
        <v>79</v>
      </c>
      <c r="AK6" s="2" t="s">
        <v>105</v>
      </c>
      <c r="AL6" s="2" t="s">
        <v>82</v>
      </c>
      <c r="AM6" s="2" t="s">
        <v>82</v>
      </c>
      <c r="AN6" s="2" t="s">
        <v>82</v>
      </c>
      <c r="AO6" s="7">
        <v>7.0</v>
      </c>
      <c r="AP6" s="7">
        <v>7.0</v>
      </c>
      <c r="AQ6" s="7">
        <v>9.0</v>
      </c>
      <c r="AR6" s="7">
        <v>5.0</v>
      </c>
      <c r="AS6" s="7"/>
      <c r="AT6" s="8"/>
      <c r="AU6" s="8"/>
      <c r="AV6" s="8"/>
      <c r="AW6" s="8"/>
      <c r="AX6" s="8"/>
      <c r="AY6" s="8">
        <v>0.0</v>
      </c>
      <c r="AZ6" s="9">
        <f t="shared" si="1"/>
        <v>7</v>
      </c>
    </row>
    <row r="7">
      <c r="A7" s="4">
        <v>42653.404630185185</v>
      </c>
      <c r="B7" s="5">
        <v>35298.0</v>
      </c>
      <c r="C7" s="2" t="s">
        <v>46</v>
      </c>
      <c r="D7" s="2" t="s">
        <v>47</v>
      </c>
      <c r="E7" s="2" t="s">
        <v>106</v>
      </c>
      <c r="F7" s="2" t="s">
        <v>107</v>
      </c>
      <c r="G7" s="2"/>
      <c r="H7" s="2" t="s">
        <v>66</v>
      </c>
      <c r="I7" s="2" t="s">
        <v>51</v>
      </c>
      <c r="J7" s="2" t="s">
        <v>68</v>
      </c>
      <c r="K7" s="2" t="s">
        <v>53</v>
      </c>
      <c r="L7" s="2" t="s">
        <v>95</v>
      </c>
      <c r="M7" s="2" t="s">
        <v>55</v>
      </c>
      <c r="N7" s="2" t="s">
        <v>96</v>
      </c>
      <c r="O7" s="2" t="s">
        <v>97</v>
      </c>
      <c r="P7" s="4">
        <v>27943.40462962963</v>
      </c>
      <c r="Q7" s="5">
        <v>20588.40462962963</v>
      </c>
      <c r="R7" s="2" t="s">
        <v>73</v>
      </c>
      <c r="S7" s="2" t="s">
        <v>100</v>
      </c>
      <c r="T7" s="2" t="s">
        <v>58</v>
      </c>
      <c r="U7" s="2" t="s">
        <v>58</v>
      </c>
      <c r="V7" s="2"/>
      <c r="W7" s="2" t="s">
        <v>57</v>
      </c>
      <c r="X7" s="2" t="s">
        <v>57</v>
      </c>
      <c r="Y7" s="2" t="s">
        <v>61</v>
      </c>
      <c r="Z7" s="2" t="s">
        <v>61</v>
      </c>
      <c r="AA7" s="2" t="s">
        <v>62</v>
      </c>
      <c r="AB7" s="2" t="s">
        <v>63</v>
      </c>
      <c r="AC7" s="2" t="s">
        <v>63</v>
      </c>
      <c r="AD7" s="2" t="s">
        <v>75</v>
      </c>
      <c r="AE7" s="2"/>
      <c r="AF7" s="2" t="s">
        <v>63</v>
      </c>
      <c r="AG7" s="7">
        <v>15.0</v>
      </c>
      <c r="AH7" s="2" t="s">
        <v>108</v>
      </c>
      <c r="AI7" s="2" t="s">
        <v>109</v>
      </c>
      <c r="AJ7" s="2" t="s">
        <v>79</v>
      </c>
      <c r="AK7" s="2" t="s">
        <v>110</v>
      </c>
      <c r="AL7" s="2" t="s">
        <v>82</v>
      </c>
      <c r="AM7" s="2" t="s">
        <v>82</v>
      </c>
      <c r="AN7" s="2" t="s">
        <v>82</v>
      </c>
      <c r="AO7" s="7">
        <v>9.0</v>
      </c>
      <c r="AP7" s="7">
        <v>8.0</v>
      </c>
      <c r="AQ7" s="7">
        <v>8.0</v>
      </c>
      <c r="AR7" s="7">
        <v>7.0</v>
      </c>
      <c r="AS7" s="7"/>
      <c r="AT7" s="8"/>
      <c r="AU7" s="8"/>
      <c r="AV7" s="8"/>
      <c r="AW7" s="8"/>
      <c r="AX7" s="8"/>
      <c r="AY7" s="8">
        <v>0.0</v>
      </c>
      <c r="AZ7" s="9">
        <f t="shared" si="1"/>
        <v>8</v>
      </c>
    </row>
    <row r="8">
      <c r="A8" s="4">
        <v>42653.404869652775</v>
      </c>
      <c r="B8" s="5">
        <v>35584.0</v>
      </c>
      <c r="C8" s="2" t="s">
        <v>46</v>
      </c>
      <c r="D8" s="2" t="s">
        <v>47</v>
      </c>
      <c r="E8" s="2" t="s">
        <v>48</v>
      </c>
      <c r="F8" s="2" t="s">
        <v>94</v>
      </c>
      <c r="G8" s="2"/>
      <c r="H8" s="2" t="s">
        <v>66</v>
      </c>
      <c r="I8" s="2" t="s">
        <v>51</v>
      </c>
      <c r="J8" s="2" t="s">
        <v>111</v>
      </c>
      <c r="K8" s="2" t="s">
        <v>53</v>
      </c>
      <c r="L8" s="2" t="s">
        <v>112</v>
      </c>
      <c r="M8" s="2" t="s">
        <v>70</v>
      </c>
      <c r="N8" s="2" t="s">
        <v>113</v>
      </c>
      <c r="O8" s="2" t="s">
        <v>97</v>
      </c>
      <c r="P8" s="4">
        <v>28515.404872685187</v>
      </c>
      <c r="Q8" s="5">
        <v>21446.404872685187</v>
      </c>
      <c r="R8" s="2" t="s">
        <v>73</v>
      </c>
      <c r="S8" s="2" t="s">
        <v>73</v>
      </c>
      <c r="T8" s="2" t="s">
        <v>58</v>
      </c>
      <c r="U8" s="2" t="s">
        <v>58</v>
      </c>
      <c r="V8" s="2"/>
      <c r="W8" s="2" t="s">
        <v>59</v>
      </c>
      <c r="X8" s="2"/>
      <c r="Y8" s="2" t="s">
        <v>61</v>
      </c>
      <c r="Z8" s="2" t="s">
        <v>61</v>
      </c>
      <c r="AA8" s="2" t="s">
        <v>62</v>
      </c>
      <c r="AB8" s="2" t="s">
        <v>63</v>
      </c>
      <c r="AC8" s="2" t="s">
        <v>63</v>
      </c>
      <c r="AD8" s="2" t="s">
        <v>75</v>
      </c>
      <c r="AE8" s="2" t="s">
        <v>114</v>
      </c>
      <c r="AF8" s="2" t="s">
        <v>63</v>
      </c>
      <c r="AG8" s="7">
        <v>15.0</v>
      </c>
      <c r="AH8" s="2" t="s">
        <v>115</v>
      </c>
      <c r="AI8" s="2" t="s">
        <v>116</v>
      </c>
      <c r="AJ8" s="2" t="s">
        <v>79</v>
      </c>
      <c r="AK8" s="2" t="s">
        <v>117</v>
      </c>
      <c r="AL8" s="2" t="s">
        <v>75</v>
      </c>
      <c r="AM8" s="2" t="s">
        <v>75</v>
      </c>
      <c r="AN8" s="2" t="s">
        <v>75</v>
      </c>
      <c r="AO8" s="7">
        <v>5.0</v>
      </c>
      <c r="AP8" s="7">
        <v>7.0</v>
      </c>
      <c r="AQ8" s="7">
        <v>9.0</v>
      </c>
      <c r="AR8" s="7">
        <v>8.0</v>
      </c>
      <c r="AS8" s="7"/>
      <c r="AT8" s="8"/>
      <c r="AU8" s="8"/>
      <c r="AV8" s="8"/>
      <c r="AW8" s="8"/>
      <c r="AX8" s="8"/>
      <c r="AY8" s="8">
        <v>0.0</v>
      </c>
      <c r="AZ8" s="9">
        <f t="shared" si="1"/>
        <v>7.25</v>
      </c>
    </row>
    <row r="9">
      <c r="A9" s="4">
        <v>42653.40649592593</v>
      </c>
      <c r="B9" s="5">
        <v>33347.0</v>
      </c>
      <c r="C9" s="2" t="s">
        <v>46</v>
      </c>
      <c r="D9" s="2" t="s">
        <v>47</v>
      </c>
      <c r="E9" s="2" t="s">
        <v>118</v>
      </c>
      <c r="F9" s="2" t="s">
        <v>119</v>
      </c>
      <c r="G9" s="2"/>
      <c r="H9" s="2" t="s">
        <v>120</v>
      </c>
      <c r="I9" s="2" t="s">
        <v>51</v>
      </c>
      <c r="J9" s="2" t="s">
        <v>68</v>
      </c>
      <c r="K9" s="2" t="s">
        <v>53</v>
      </c>
      <c r="L9" s="2" t="s">
        <v>69</v>
      </c>
      <c r="M9" s="2" t="s">
        <v>70</v>
      </c>
      <c r="N9" s="2" t="s">
        <v>96</v>
      </c>
      <c r="O9" s="2" t="s">
        <v>72</v>
      </c>
      <c r="P9" s="4">
        <v>24041.406493055554</v>
      </c>
      <c r="Q9" s="5">
        <v>14735.406493055556</v>
      </c>
      <c r="R9" s="2" t="s">
        <v>73</v>
      </c>
      <c r="S9" s="2" t="s">
        <v>100</v>
      </c>
      <c r="T9" s="2" t="s">
        <v>58</v>
      </c>
      <c r="U9" s="2" t="s">
        <v>58</v>
      </c>
      <c r="V9" s="2"/>
      <c r="W9" s="2" t="s">
        <v>100</v>
      </c>
      <c r="X9" s="2"/>
      <c r="Y9" s="2" t="s">
        <v>61</v>
      </c>
      <c r="Z9" s="2" t="s">
        <v>61</v>
      </c>
      <c r="AA9" s="2" t="s">
        <v>62</v>
      </c>
      <c r="AB9" s="2" t="s">
        <v>74</v>
      </c>
      <c r="AC9" s="2" t="s">
        <v>63</v>
      </c>
      <c r="AD9" s="2" t="s">
        <v>121</v>
      </c>
      <c r="AE9" s="2"/>
      <c r="AF9" s="2" t="s">
        <v>63</v>
      </c>
      <c r="AG9" s="7">
        <v>13.0</v>
      </c>
      <c r="AH9" s="2" t="s">
        <v>122</v>
      </c>
      <c r="AI9" s="2" t="s">
        <v>123</v>
      </c>
      <c r="AJ9" s="2" t="s">
        <v>124</v>
      </c>
      <c r="AK9" s="2" t="s">
        <v>125</v>
      </c>
      <c r="AL9" s="2" t="s">
        <v>82</v>
      </c>
      <c r="AM9" s="2" t="s">
        <v>75</v>
      </c>
      <c r="AN9" s="2" t="s">
        <v>82</v>
      </c>
      <c r="AO9" s="7">
        <v>4.0</v>
      </c>
      <c r="AP9" s="7">
        <v>7.0</v>
      </c>
      <c r="AQ9" s="7">
        <v>7.0</v>
      </c>
      <c r="AR9" s="7">
        <v>6.0</v>
      </c>
      <c r="AS9" s="7"/>
      <c r="AT9" s="8"/>
      <c r="AU9" s="8"/>
      <c r="AV9" s="8"/>
      <c r="AW9" s="8"/>
      <c r="AX9" s="8"/>
      <c r="AY9" s="8">
        <v>1.0</v>
      </c>
      <c r="AZ9" s="9">
        <f t="shared" si="1"/>
        <v>6</v>
      </c>
    </row>
    <row r="10">
      <c r="A10" s="4">
        <v>42653.40816005787</v>
      </c>
      <c r="B10" s="5">
        <v>35125.0</v>
      </c>
      <c r="C10" s="2" t="s">
        <v>46</v>
      </c>
      <c r="D10" s="2" t="s">
        <v>47</v>
      </c>
      <c r="E10" s="2" t="s">
        <v>118</v>
      </c>
      <c r="F10" s="2" t="s">
        <v>126</v>
      </c>
      <c r="G10" s="2"/>
      <c r="H10" s="2" t="s">
        <v>120</v>
      </c>
      <c r="I10" s="2" t="s">
        <v>51</v>
      </c>
      <c r="J10" s="2" t="s">
        <v>68</v>
      </c>
      <c r="K10" s="2" t="s">
        <v>53</v>
      </c>
      <c r="L10" s="2" t="s">
        <v>69</v>
      </c>
      <c r="M10" s="2" t="s">
        <v>85</v>
      </c>
      <c r="N10" s="2" t="s">
        <v>86</v>
      </c>
      <c r="O10" s="2" t="s">
        <v>72</v>
      </c>
      <c r="P10" s="4">
        <v>27597.40815972222</v>
      </c>
      <c r="Q10" s="5">
        <v>20069.40815972222</v>
      </c>
      <c r="R10" s="2" t="s">
        <v>57</v>
      </c>
      <c r="S10" s="2" t="s">
        <v>73</v>
      </c>
      <c r="T10" s="2" t="s">
        <v>58</v>
      </c>
      <c r="U10" s="2" t="s">
        <v>58</v>
      </c>
      <c r="V10" s="2"/>
      <c r="W10" s="2" t="s">
        <v>59</v>
      </c>
      <c r="X10" s="2"/>
      <c r="Y10" s="2" t="s">
        <v>61</v>
      </c>
      <c r="Z10" s="2" t="s">
        <v>61</v>
      </c>
      <c r="AA10" s="2" t="s">
        <v>62</v>
      </c>
      <c r="AB10" s="2"/>
      <c r="AC10" s="2" t="s">
        <v>63</v>
      </c>
      <c r="AD10" s="2" t="s">
        <v>93</v>
      </c>
      <c r="AE10" s="2"/>
      <c r="AF10" s="2" t="s">
        <v>63</v>
      </c>
      <c r="AG10" s="7">
        <v>13.0</v>
      </c>
      <c r="AH10" s="7">
        <v>6.35</v>
      </c>
      <c r="AI10" s="7">
        <v>7.0</v>
      </c>
      <c r="AJ10" s="2" t="s">
        <v>124</v>
      </c>
      <c r="AK10" s="7">
        <v>5.0</v>
      </c>
      <c r="AL10" s="2" t="s">
        <v>82</v>
      </c>
      <c r="AM10" s="2" t="s">
        <v>75</v>
      </c>
      <c r="AN10" s="2" t="s">
        <v>82</v>
      </c>
      <c r="AO10" s="7">
        <v>4.0</v>
      </c>
      <c r="AP10" s="2"/>
      <c r="AQ10" s="7">
        <v>8.0</v>
      </c>
      <c r="AR10" s="7">
        <v>6.0</v>
      </c>
      <c r="AS10" s="7"/>
      <c r="AT10" s="8"/>
      <c r="AU10" s="8"/>
      <c r="AV10" s="8"/>
      <c r="AW10" s="8"/>
      <c r="AX10" s="8"/>
      <c r="AY10" s="8">
        <v>1.0</v>
      </c>
      <c r="AZ10" s="9">
        <f t="shared" si="1"/>
        <v>6</v>
      </c>
    </row>
    <row r="11">
      <c r="A11" s="4">
        <v>42653.4083590625</v>
      </c>
      <c r="B11" s="5">
        <v>35368.0</v>
      </c>
      <c r="C11" s="2" t="s">
        <v>46</v>
      </c>
      <c r="D11" s="2" t="s">
        <v>47</v>
      </c>
      <c r="E11" s="2" t="s">
        <v>48</v>
      </c>
      <c r="F11" s="2" t="s">
        <v>127</v>
      </c>
      <c r="G11" s="2"/>
      <c r="H11" s="2" t="s">
        <v>66</v>
      </c>
      <c r="I11" s="2" t="s">
        <v>128</v>
      </c>
      <c r="J11" s="2" t="s">
        <v>52</v>
      </c>
      <c r="K11" s="2" t="s">
        <v>53</v>
      </c>
      <c r="L11" s="2" t="s">
        <v>84</v>
      </c>
      <c r="M11" s="2" t="s">
        <v>55</v>
      </c>
      <c r="N11" s="2" t="s">
        <v>96</v>
      </c>
      <c r="O11" s="2" t="s">
        <v>72</v>
      </c>
      <c r="P11" s="4">
        <v>28083.408356481483</v>
      </c>
      <c r="Q11" s="5">
        <v>20798.408356481483</v>
      </c>
      <c r="R11" s="2" t="s">
        <v>57</v>
      </c>
      <c r="S11" s="2" t="s">
        <v>98</v>
      </c>
      <c r="T11" s="2" t="s">
        <v>58</v>
      </c>
      <c r="U11" s="2" t="s">
        <v>58</v>
      </c>
      <c r="V11" s="2"/>
      <c r="W11" s="2" t="s">
        <v>73</v>
      </c>
      <c r="X11" s="2"/>
      <c r="Y11" s="2" t="s">
        <v>61</v>
      </c>
      <c r="Z11" s="2" t="s">
        <v>60</v>
      </c>
      <c r="AA11" s="2" t="s">
        <v>62</v>
      </c>
      <c r="AB11" s="2" t="s">
        <v>63</v>
      </c>
      <c r="AC11" s="2" t="s">
        <v>63</v>
      </c>
      <c r="AD11" s="2" t="s">
        <v>82</v>
      </c>
      <c r="AE11" s="2" t="s">
        <v>129</v>
      </c>
      <c r="AF11" s="2" t="s">
        <v>63</v>
      </c>
      <c r="AG11" s="7">
        <v>17.0</v>
      </c>
      <c r="AH11" s="2" t="s">
        <v>130</v>
      </c>
      <c r="AI11" s="2" t="s">
        <v>131</v>
      </c>
      <c r="AJ11" s="2" t="s">
        <v>79</v>
      </c>
      <c r="AK11" s="2" t="s">
        <v>132</v>
      </c>
      <c r="AL11" s="2" t="s">
        <v>82</v>
      </c>
      <c r="AM11" s="2" t="s">
        <v>82</v>
      </c>
      <c r="AN11" s="2" t="s">
        <v>82</v>
      </c>
      <c r="AO11" s="7">
        <v>6.0</v>
      </c>
      <c r="AP11" s="7">
        <v>7.0</v>
      </c>
      <c r="AQ11" s="7">
        <v>9.0</v>
      </c>
      <c r="AR11" s="7">
        <v>7.0</v>
      </c>
      <c r="AS11" s="7"/>
      <c r="AT11" s="8"/>
      <c r="AU11" s="8"/>
      <c r="AV11" s="8"/>
      <c r="AW11" s="8"/>
      <c r="AX11" s="8"/>
      <c r="AY11" s="8">
        <v>0.0</v>
      </c>
      <c r="AZ11" s="9">
        <f t="shared" si="1"/>
        <v>7.25</v>
      </c>
    </row>
    <row r="12">
      <c r="A12" s="4">
        <v>42653.40843413194</v>
      </c>
      <c r="B12" s="5">
        <v>35219.0</v>
      </c>
      <c r="C12" s="2" t="s">
        <v>46</v>
      </c>
      <c r="D12" s="2" t="s">
        <v>47</v>
      </c>
      <c r="E12" s="2" t="s">
        <v>48</v>
      </c>
      <c r="F12" s="2" t="s">
        <v>133</v>
      </c>
      <c r="G12" s="2"/>
      <c r="H12" s="2" t="s">
        <v>120</v>
      </c>
      <c r="I12" s="2" t="s">
        <v>51</v>
      </c>
      <c r="J12" s="2" t="s">
        <v>68</v>
      </c>
      <c r="K12" s="2" t="s">
        <v>53</v>
      </c>
      <c r="L12" s="2" t="s">
        <v>69</v>
      </c>
      <c r="M12" s="2" t="s">
        <v>70</v>
      </c>
      <c r="N12" s="2" t="s">
        <v>96</v>
      </c>
      <c r="O12" s="2" t="s">
        <v>72</v>
      </c>
      <c r="P12" s="4">
        <v>27785.4084375</v>
      </c>
      <c r="Q12" s="5">
        <v>20351.4084375</v>
      </c>
      <c r="R12" s="2" t="s">
        <v>100</v>
      </c>
      <c r="S12" s="2" t="s">
        <v>98</v>
      </c>
      <c r="T12" s="2" t="s">
        <v>58</v>
      </c>
      <c r="U12" s="2" t="s">
        <v>58</v>
      </c>
      <c r="V12" s="2"/>
      <c r="W12" s="2" t="s">
        <v>73</v>
      </c>
      <c r="X12" s="2" t="s">
        <v>57</v>
      </c>
      <c r="Y12" s="2" t="s">
        <v>61</v>
      </c>
      <c r="Z12" s="2" t="s">
        <v>61</v>
      </c>
      <c r="AA12" s="2" t="s">
        <v>62</v>
      </c>
      <c r="AB12" s="2" t="s">
        <v>74</v>
      </c>
      <c r="AC12" s="2" t="s">
        <v>63</v>
      </c>
      <c r="AD12" s="2" t="s">
        <v>75</v>
      </c>
      <c r="AE12" s="2"/>
      <c r="AF12" s="2" t="s">
        <v>63</v>
      </c>
      <c r="AG12" s="7">
        <v>16.0</v>
      </c>
      <c r="AH12" s="2" t="s">
        <v>134</v>
      </c>
      <c r="AI12" s="2" t="s">
        <v>135</v>
      </c>
      <c r="AJ12" s="2" t="s">
        <v>124</v>
      </c>
      <c r="AK12" s="2" t="s">
        <v>117</v>
      </c>
      <c r="AL12" s="2" t="s">
        <v>75</v>
      </c>
      <c r="AM12" s="2" t="s">
        <v>82</v>
      </c>
      <c r="AN12" s="2" t="s">
        <v>82</v>
      </c>
      <c r="AO12" s="7">
        <v>5.0</v>
      </c>
      <c r="AP12" s="7">
        <v>7.0</v>
      </c>
      <c r="AQ12" s="7">
        <v>9.0</v>
      </c>
      <c r="AR12" s="7">
        <v>8.0</v>
      </c>
      <c r="AS12" s="7"/>
      <c r="AT12" s="8"/>
      <c r="AU12" s="8"/>
      <c r="AV12" s="8"/>
      <c r="AW12" s="8"/>
      <c r="AX12" s="8"/>
      <c r="AY12" s="8">
        <v>0.0</v>
      </c>
      <c r="AZ12" s="9">
        <f t="shared" si="1"/>
        <v>7.25</v>
      </c>
    </row>
    <row r="13">
      <c r="A13" s="4">
        <v>42653.40872927083</v>
      </c>
      <c r="B13" s="5">
        <v>33915.0</v>
      </c>
      <c r="C13" s="2" t="s">
        <v>46</v>
      </c>
      <c r="D13" s="2" t="s">
        <v>47</v>
      </c>
      <c r="E13" s="2" t="s">
        <v>48</v>
      </c>
      <c r="F13" s="2" t="s">
        <v>136</v>
      </c>
      <c r="G13" s="2"/>
      <c r="H13" s="2" t="s">
        <v>137</v>
      </c>
      <c r="I13" s="2" t="s">
        <v>51</v>
      </c>
      <c r="J13" s="2" t="s">
        <v>68</v>
      </c>
      <c r="K13" s="2" t="s">
        <v>53</v>
      </c>
      <c r="L13" s="2" t="s">
        <v>69</v>
      </c>
      <c r="M13" s="2" t="s">
        <v>55</v>
      </c>
      <c r="N13" s="2" t="s">
        <v>96</v>
      </c>
      <c r="O13" s="2" t="s">
        <v>97</v>
      </c>
      <c r="P13" s="4">
        <v>25177.408726851852</v>
      </c>
      <c r="Q13" s="5">
        <v>16439.408726851852</v>
      </c>
      <c r="R13" s="2" t="s">
        <v>57</v>
      </c>
      <c r="S13" s="2" t="s">
        <v>73</v>
      </c>
      <c r="T13" s="2" t="s">
        <v>58</v>
      </c>
      <c r="U13" s="2" t="s">
        <v>58</v>
      </c>
      <c r="V13" s="2"/>
      <c r="W13" s="2" t="s">
        <v>59</v>
      </c>
      <c r="X13" s="2"/>
      <c r="Y13" s="2" t="s">
        <v>60</v>
      </c>
      <c r="Z13" s="2" t="s">
        <v>61</v>
      </c>
      <c r="AA13" s="2" t="s">
        <v>62</v>
      </c>
      <c r="AB13" s="2" t="s">
        <v>74</v>
      </c>
      <c r="AC13" s="2" t="s">
        <v>63</v>
      </c>
      <c r="AD13" s="2" t="s">
        <v>75</v>
      </c>
      <c r="AE13" s="2"/>
      <c r="AF13" s="2" t="s">
        <v>63</v>
      </c>
      <c r="AG13" s="7">
        <v>13.0</v>
      </c>
      <c r="AH13" s="2" t="s">
        <v>138</v>
      </c>
      <c r="AI13" s="2" t="s">
        <v>139</v>
      </c>
      <c r="AJ13" s="2" t="s">
        <v>124</v>
      </c>
      <c r="AK13" s="2" t="s">
        <v>140</v>
      </c>
      <c r="AL13" s="2" t="s">
        <v>82</v>
      </c>
      <c r="AM13" s="2" t="s">
        <v>75</v>
      </c>
      <c r="AN13" s="2" t="s">
        <v>82</v>
      </c>
      <c r="AO13" s="7">
        <v>6.0</v>
      </c>
      <c r="AP13" s="7">
        <v>6.0</v>
      </c>
      <c r="AQ13" s="7">
        <v>8.0</v>
      </c>
      <c r="AR13" s="7">
        <v>6.0</v>
      </c>
      <c r="AS13" s="7"/>
      <c r="AT13" s="8"/>
      <c r="AU13" s="8"/>
      <c r="AV13" s="8"/>
      <c r="AW13" s="8"/>
      <c r="AX13" s="8"/>
      <c r="AY13" s="8">
        <v>0.0</v>
      </c>
      <c r="AZ13" s="9">
        <f t="shared" si="1"/>
        <v>6.5</v>
      </c>
    </row>
    <row r="14">
      <c r="A14" s="4">
        <v>42653.40990511574</v>
      </c>
      <c r="B14" s="5">
        <v>35586.0</v>
      </c>
      <c r="C14" s="2" t="s">
        <v>46</v>
      </c>
      <c r="D14" s="2" t="s">
        <v>47</v>
      </c>
      <c r="E14" s="2" t="s">
        <v>106</v>
      </c>
      <c r="F14" s="2" t="s">
        <v>141</v>
      </c>
      <c r="G14" s="2"/>
      <c r="H14" s="2" t="s">
        <v>66</v>
      </c>
      <c r="I14" s="2" t="s">
        <v>142</v>
      </c>
      <c r="J14" s="2" t="s">
        <v>52</v>
      </c>
      <c r="K14" s="2" t="s">
        <v>143</v>
      </c>
      <c r="L14" s="2" t="s">
        <v>144</v>
      </c>
      <c r="M14" s="2" t="s">
        <v>55</v>
      </c>
      <c r="N14" s="2" t="s">
        <v>113</v>
      </c>
      <c r="O14" s="2" t="s">
        <v>72</v>
      </c>
      <c r="P14" s="4">
        <v>28519.409907407407</v>
      </c>
      <c r="Q14" s="5">
        <v>21452.409907407407</v>
      </c>
      <c r="R14" s="2" t="s">
        <v>73</v>
      </c>
      <c r="S14" s="2" t="s">
        <v>73</v>
      </c>
      <c r="T14" s="2" t="s">
        <v>58</v>
      </c>
      <c r="U14" s="2" t="s">
        <v>58</v>
      </c>
      <c r="V14" s="2"/>
      <c r="W14" s="2" t="s">
        <v>59</v>
      </c>
      <c r="X14" s="2"/>
      <c r="Y14" s="2" t="s">
        <v>61</v>
      </c>
      <c r="Z14" s="2" t="s">
        <v>61</v>
      </c>
      <c r="AA14" s="2" t="s">
        <v>62</v>
      </c>
      <c r="AB14" s="2" t="s">
        <v>74</v>
      </c>
      <c r="AC14" s="2" t="s">
        <v>63</v>
      </c>
      <c r="AD14" s="2" t="s">
        <v>82</v>
      </c>
      <c r="AE14" s="2" t="s">
        <v>145</v>
      </c>
      <c r="AF14" s="2" t="s">
        <v>63</v>
      </c>
      <c r="AG14" s="7">
        <v>16.0</v>
      </c>
      <c r="AH14" s="2" t="s">
        <v>146</v>
      </c>
      <c r="AI14" s="2" t="s">
        <v>147</v>
      </c>
      <c r="AJ14" s="2" t="s">
        <v>79</v>
      </c>
      <c r="AK14" s="2" t="s">
        <v>148</v>
      </c>
      <c r="AL14" s="2" t="s">
        <v>82</v>
      </c>
      <c r="AM14" s="2" t="s">
        <v>75</v>
      </c>
      <c r="AN14" s="2" t="s">
        <v>75</v>
      </c>
      <c r="AO14" s="7">
        <v>7.0</v>
      </c>
      <c r="AP14" s="7">
        <v>9.0</v>
      </c>
      <c r="AQ14" s="7">
        <v>10.0</v>
      </c>
      <c r="AR14" s="7">
        <v>9.0</v>
      </c>
      <c r="AS14" s="7"/>
      <c r="AT14" s="8"/>
      <c r="AU14" s="8"/>
      <c r="AV14" s="8"/>
      <c r="AW14" s="8"/>
      <c r="AX14" s="8"/>
      <c r="AY14" s="8">
        <v>0.0</v>
      </c>
      <c r="AZ14" s="9">
        <f t="shared" si="1"/>
        <v>8.75</v>
      </c>
    </row>
    <row r="15">
      <c r="A15" s="4">
        <v>42653.409958125005</v>
      </c>
      <c r="B15" s="5">
        <v>35244.0</v>
      </c>
      <c r="C15" s="2" t="s">
        <v>46</v>
      </c>
      <c r="D15" s="2" t="s">
        <v>47</v>
      </c>
      <c r="E15" s="2" t="s">
        <v>149</v>
      </c>
      <c r="F15" s="2" t="s">
        <v>150</v>
      </c>
      <c r="G15" s="2"/>
      <c r="H15" s="2" t="s">
        <v>66</v>
      </c>
      <c r="I15" s="2" t="s">
        <v>142</v>
      </c>
      <c r="J15" s="2" t="s">
        <v>52</v>
      </c>
      <c r="K15" s="2" t="s">
        <v>143</v>
      </c>
      <c r="L15" s="2" t="s">
        <v>95</v>
      </c>
      <c r="M15" s="2" t="s">
        <v>70</v>
      </c>
      <c r="N15" s="2" t="s">
        <v>113</v>
      </c>
      <c r="O15" s="2" t="s">
        <v>97</v>
      </c>
      <c r="P15" s="4">
        <v>27835.409953703704</v>
      </c>
      <c r="Q15" s="5">
        <v>20426.409953703704</v>
      </c>
      <c r="R15" s="2" t="s">
        <v>73</v>
      </c>
      <c r="S15" s="2" t="s">
        <v>57</v>
      </c>
      <c r="T15" s="2" t="s">
        <v>58</v>
      </c>
      <c r="U15" s="2" t="s">
        <v>58</v>
      </c>
      <c r="V15" s="2"/>
      <c r="W15" s="2" t="s">
        <v>59</v>
      </c>
      <c r="X15" s="2"/>
      <c r="Y15" s="2" t="s">
        <v>61</v>
      </c>
      <c r="Z15" s="2" t="s">
        <v>61</v>
      </c>
      <c r="AA15" s="2" t="s">
        <v>62</v>
      </c>
      <c r="AB15" s="2" t="s">
        <v>63</v>
      </c>
      <c r="AC15" s="2" t="s">
        <v>63</v>
      </c>
      <c r="AD15" s="2" t="s">
        <v>82</v>
      </c>
      <c r="AE15" s="2" t="s">
        <v>151</v>
      </c>
      <c r="AF15" s="2" t="s">
        <v>63</v>
      </c>
      <c r="AG15" s="7">
        <v>16.0</v>
      </c>
      <c r="AH15" s="2" t="s">
        <v>152</v>
      </c>
      <c r="AI15" s="2" t="s">
        <v>153</v>
      </c>
      <c r="AJ15" s="2" t="s">
        <v>79</v>
      </c>
      <c r="AK15" s="2" t="s">
        <v>154</v>
      </c>
      <c r="AL15" s="2" t="s">
        <v>82</v>
      </c>
      <c r="AM15" s="2" t="s">
        <v>75</v>
      </c>
      <c r="AN15" s="2" t="s">
        <v>75</v>
      </c>
      <c r="AO15" s="7">
        <v>7.0</v>
      </c>
      <c r="AP15" s="7">
        <v>8.0</v>
      </c>
      <c r="AQ15" s="7">
        <v>9.0</v>
      </c>
      <c r="AR15" s="7">
        <v>7.0</v>
      </c>
      <c r="AS15" s="7"/>
      <c r="AT15" s="8"/>
      <c r="AU15" s="8"/>
      <c r="AV15" s="8"/>
      <c r="AW15" s="8"/>
      <c r="AX15" s="8"/>
      <c r="AY15" s="8">
        <v>0.0</v>
      </c>
      <c r="AZ15" s="9">
        <f t="shared" si="1"/>
        <v>7.75</v>
      </c>
    </row>
    <row r="16">
      <c r="A16" s="4">
        <v>42653.41124332176</v>
      </c>
      <c r="B16" s="5">
        <v>35193.0</v>
      </c>
      <c r="C16" s="2" t="s">
        <v>46</v>
      </c>
      <c r="D16" s="2" t="s">
        <v>47</v>
      </c>
      <c r="E16" s="2" t="s">
        <v>48</v>
      </c>
      <c r="F16" s="2" t="s">
        <v>155</v>
      </c>
      <c r="G16" s="2"/>
      <c r="H16" s="2" t="s">
        <v>120</v>
      </c>
      <c r="I16" s="2" t="s">
        <v>156</v>
      </c>
      <c r="J16" s="2" t="s">
        <v>111</v>
      </c>
      <c r="K16" s="2" t="s">
        <v>53</v>
      </c>
      <c r="L16" s="2" t="s">
        <v>69</v>
      </c>
      <c r="M16" s="2" t="s">
        <v>55</v>
      </c>
      <c r="N16" s="2" t="s">
        <v>96</v>
      </c>
      <c r="O16" s="2" t="s">
        <v>157</v>
      </c>
      <c r="P16" s="4">
        <v>27733.411238425924</v>
      </c>
      <c r="Q16" s="5">
        <v>20273.411238425924</v>
      </c>
      <c r="R16" s="2" t="s">
        <v>73</v>
      </c>
      <c r="S16" s="2" t="s">
        <v>100</v>
      </c>
      <c r="T16" s="2" t="s">
        <v>58</v>
      </c>
      <c r="U16" s="2" t="s">
        <v>57</v>
      </c>
      <c r="V16" s="2" t="s">
        <v>158</v>
      </c>
      <c r="W16" s="2" t="s">
        <v>159</v>
      </c>
      <c r="X16" s="2" t="s">
        <v>100</v>
      </c>
      <c r="Y16" s="2" t="s">
        <v>60</v>
      </c>
      <c r="Z16" s="2" t="s">
        <v>61</v>
      </c>
      <c r="AA16" s="2" t="s">
        <v>62</v>
      </c>
      <c r="AB16" s="2" t="s">
        <v>74</v>
      </c>
      <c r="AC16" s="2" t="s">
        <v>63</v>
      </c>
      <c r="AD16" s="2" t="s">
        <v>75</v>
      </c>
      <c r="AE16" s="2" t="s">
        <v>160</v>
      </c>
      <c r="AF16" s="2" t="s">
        <v>63</v>
      </c>
      <c r="AG16" s="7">
        <v>8.25</v>
      </c>
      <c r="AH16" s="7">
        <v>8.56</v>
      </c>
      <c r="AI16" s="7">
        <v>7.1</v>
      </c>
      <c r="AJ16" s="2" t="s">
        <v>124</v>
      </c>
      <c r="AK16" s="7">
        <v>8.0</v>
      </c>
      <c r="AL16" s="2" t="s">
        <v>75</v>
      </c>
      <c r="AM16" s="2" t="s">
        <v>75</v>
      </c>
      <c r="AN16" s="2" t="s">
        <v>75</v>
      </c>
      <c r="AO16" s="7">
        <v>6.0</v>
      </c>
      <c r="AP16" s="7">
        <v>5.0</v>
      </c>
      <c r="AQ16" s="7">
        <v>8.0</v>
      </c>
      <c r="AR16" s="7">
        <v>5.0</v>
      </c>
      <c r="AS16" s="7"/>
      <c r="AT16" s="8"/>
      <c r="AU16" s="8"/>
      <c r="AV16" s="8"/>
      <c r="AW16" s="8"/>
      <c r="AX16" s="8"/>
      <c r="AY16" s="8">
        <v>0.0</v>
      </c>
      <c r="AZ16" s="9">
        <f t="shared" si="1"/>
        <v>6</v>
      </c>
    </row>
    <row r="17">
      <c r="A17" s="4">
        <v>42653.48891783565</v>
      </c>
      <c r="B17" s="5">
        <v>35052.0</v>
      </c>
      <c r="C17" s="2" t="s">
        <v>161</v>
      </c>
      <c r="D17" s="2" t="s">
        <v>47</v>
      </c>
      <c r="E17" s="2" t="s">
        <v>48</v>
      </c>
      <c r="F17" s="2" t="s">
        <v>94</v>
      </c>
      <c r="G17" s="2"/>
      <c r="H17" s="2" t="s">
        <v>120</v>
      </c>
      <c r="I17" s="2" t="s">
        <v>162</v>
      </c>
      <c r="J17" s="2" t="s">
        <v>111</v>
      </c>
      <c r="K17" s="2" t="s">
        <v>53</v>
      </c>
      <c r="L17" s="2" t="s">
        <v>54</v>
      </c>
      <c r="M17" s="2" t="s">
        <v>70</v>
      </c>
      <c r="N17" s="2" t="s">
        <v>113</v>
      </c>
      <c r="O17" s="2" t="s">
        <v>163</v>
      </c>
      <c r="P17" s="4">
        <v>27451.488923611112</v>
      </c>
      <c r="Q17" s="5">
        <v>19850.488923611112</v>
      </c>
      <c r="R17" s="2" t="s">
        <v>57</v>
      </c>
      <c r="S17" s="2" t="s">
        <v>73</v>
      </c>
      <c r="T17" s="2" t="s">
        <v>58</v>
      </c>
      <c r="U17" s="2" t="s">
        <v>58</v>
      </c>
      <c r="V17" s="2"/>
      <c r="W17" s="2" t="s">
        <v>59</v>
      </c>
      <c r="X17" s="2" t="s">
        <v>73</v>
      </c>
      <c r="Y17" s="2" t="s">
        <v>61</v>
      </c>
      <c r="Z17" s="2" t="s">
        <v>61</v>
      </c>
      <c r="AA17" s="2" t="s">
        <v>62</v>
      </c>
      <c r="AB17" s="2" t="s">
        <v>74</v>
      </c>
      <c r="AC17" s="2" t="s">
        <v>74</v>
      </c>
      <c r="AD17" s="2" t="s">
        <v>75</v>
      </c>
      <c r="AE17" s="2"/>
      <c r="AF17" s="2" t="s">
        <v>63</v>
      </c>
      <c r="AG17" s="2" t="s">
        <v>164</v>
      </c>
      <c r="AH17" s="2" t="s">
        <v>165</v>
      </c>
      <c r="AI17" s="2"/>
      <c r="AJ17" s="2"/>
      <c r="AK17" s="2"/>
      <c r="AL17" s="2"/>
      <c r="AM17" s="2"/>
      <c r="AN17" s="2"/>
      <c r="AO17" s="2"/>
      <c r="AP17" s="2"/>
      <c r="AQ17" s="2"/>
      <c r="AR17" s="2"/>
      <c r="AS17" s="2"/>
      <c r="AT17" s="9"/>
      <c r="AU17" s="9"/>
      <c r="AV17" s="9"/>
      <c r="AW17" s="9"/>
      <c r="AX17" s="9"/>
      <c r="AY17" s="9"/>
      <c r="AZ17" s="9"/>
    </row>
    <row r="18">
      <c r="A18" s="4">
        <v>42653.489265752316</v>
      </c>
      <c r="B18" s="11" t="s">
        <v>166</v>
      </c>
      <c r="C18" s="2" t="s">
        <v>161</v>
      </c>
      <c r="D18" s="2" t="s">
        <v>47</v>
      </c>
      <c r="E18" s="2" t="s">
        <v>48</v>
      </c>
      <c r="F18" s="2" t="s">
        <v>167</v>
      </c>
      <c r="G18" s="2"/>
      <c r="H18" s="2" t="s">
        <v>120</v>
      </c>
      <c r="I18" s="2" t="s">
        <v>156</v>
      </c>
      <c r="J18" s="2" t="s">
        <v>52</v>
      </c>
      <c r="K18" s="2" t="s">
        <v>143</v>
      </c>
      <c r="L18" s="2" t="s">
        <v>144</v>
      </c>
      <c r="M18" s="2" t="s">
        <v>70</v>
      </c>
      <c r="N18" s="2" t="s">
        <v>113</v>
      </c>
      <c r="O18" s="2" t="s">
        <v>168</v>
      </c>
      <c r="P18" s="4">
        <v>42654.489270833335</v>
      </c>
      <c r="Q18" s="11" t="s">
        <v>169</v>
      </c>
      <c r="R18" s="2" t="s">
        <v>57</v>
      </c>
      <c r="S18" s="2" t="s">
        <v>100</v>
      </c>
      <c r="T18" s="2" t="s">
        <v>58</v>
      </c>
      <c r="U18" s="2" t="s">
        <v>57</v>
      </c>
      <c r="V18" s="2"/>
      <c r="W18" s="2" t="s">
        <v>59</v>
      </c>
      <c r="X18" s="2" t="s">
        <v>170</v>
      </c>
      <c r="Y18" s="2" t="s">
        <v>61</v>
      </c>
      <c r="Z18" s="2" t="s">
        <v>101</v>
      </c>
      <c r="AA18" s="2" t="s">
        <v>62</v>
      </c>
      <c r="AB18" s="2" t="s">
        <v>74</v>
      </c>
      <c r="AC18" s="2" t="s">
        <v>74</v>
      </c>
      <c r="AD18" s="2" t="s">
        <v>75</v>
      </c>
      <c r="AE18" s="2"/>
      <c r="AF18" s="2" t="s">
        <v>63</v>
      </c>
      <c r="AG18" s="7">
        <v>18.0</v>
      </c>
      <c r="AH18" s="2" t="s">
        <v>171</v>
      </c>
      <c r="AI18" s="2" t="s">
        <v>172</v>
      </c>
      <c r="AJ18" s="2" t="s">
        <v>124</v>
      </c>
      <c r="AK18" s="2" t="s">
        <v>109</v>
      </c>
      <c r="AL18" s="2" t="s">
        <v>75</v>
      </c>
      <c r="AM18" s="2" t="s">
        <v>75</v>
      </c>
      <c r="AN18" s="2" t="s">
        <v>82</v>
      </c>
      <c r="AO18" s="7">
        <v>8.0</v>
      </c>
      <c r="AP18" s="7">
        <v>9.0</v>
      </c>
      <c r="AQ18" s="7">
        <v>9.0</v>
      </c>
      <c r="AR18" s="7">
        <v>7.0</v>
      </c>
      <c r="AS18" s="7"/>
      <c r="AT18" s="8"/>
      <c r="AU18" s="8"/>
      <c r="AV18" s="8"/>
      <c r="AW18" s="8"/>
      <c r="AX18" s="8"/>
      <c r="AY18" s="8">
        <v>0.0</v>
      </c>
      <c r="AZ18" s="9">
        <f t="shared" ref="AZ18:AZ44" si="2">AVERAGE(AO18:AR18)</f>
        <v>8.25</v>
      </c>
    </row>
    <row r="19">
      <c r="A19" s="4">
        <v>42653.490947858794</v>
      </c>
      <c r="B19" s="5">
        <v>35448.0</v>
      </c>
      <c r="C19" s="2" t="s">
        <v>161</v>
      </c>
      <c r="D19" s="2" t="s">
        <v>47</v>
      </c>
      <c r="E19" s="2" t="s">
        <v>106</v>
      </c>
      <c r="F19" s="2" t="s">
        <v>173</v>
      </c>
      <c r="G19" s="2"/>
      <c r="H19" s="2" t="s">
        <v>66</v>
      </c>
      <c r="I19" s="2" t="s">
        <v>51</v>
      </c>
      <c r="J19" s="2" t="s">
        <v>111</v>
      </c>
      <c r="K19" s="2" t="s">
        <v>53</v>
      </c>
      <c r="L19" s="2" t="s">
        <v>84</v>
      </c>
      <c r="M19" s="2" t="s">
        <v>55</v>
      </c>
      <c r="N19" s="2" t="s">
        <v>96</v>
      </c>
      <c r="O19" s="2" t="s">
        <v>174</v>
      </c>
      <c r="P19" s="4">
        <v>28243.490949074076</v>
      </c>
      <c r="Q19" s="5">
        <v>21038.490949074076</v>
      </c>
      <c r="R19" s="2" t="s">
        <v>73</v>
      </c>
      <c r="S19" s="2" t="s">
        <v>98</v>
      </c>
      <c r="T19" s="2" t="s">
        <v>57</v>
      </c>
      <c r="U19" s="2" t="s">
        <v>58</v>
      </c>
      <c r="V19" s="2" t="s">
        <v>175</v>
      </c>
      <c r="W19" s="2" t="s">
        <v>98</v>
      </c>
      <c r="X19" s="2" t="s">
        <v>170</v>
      </c>
      <c r="Y19" s="2" t="s">
        <v>61</v>
      </c>
      <c r="Z19" s="2" t="s">
        <v>61</v>
      </c>
      <c r="AA19" s="2" t="s">
        <v>62</v>
      </c>
      <c r="AB19" s="2" t="s">
        <v>63</v>
      </c>
      <c r="AC19" s="2" t="s">
        <v>74</v>
      </c>
      <c r="AD19" s="2" t="s">
        <v>75</v>
      </c>
      <c r="AE19" s="2" t="s">
        <v>176</v>
      </c>
      <c r="AF19" s="2" t="s">
        <v>63</v>
      </c>
      <c r="AG19" s="7">
        <v>9.0</v>
      </c>
      <c r="AH19" s="2" t="s">
        <v>177</v>
      </c>
      <c r="AI19" s="7">
        <v>7.0</v>
      </c>
      <c r="AJ19" s="2" t="s">
        <v>79</v>
      </c>
      <c r="AK19" s="2" t="s">
        <v>178</v>
      </c>
      <c r="AL19" s="2" t="s">
        <v>82</v>
      </c>
      <c r="AM19" s="2" t="s">
        <v>82</v>
      </c>
      <c r="AN19" s="2" t="s">
        <v>82</v>
      </c>
      <c r="AO19" s="7">
        <v>5.0</v>
      </c>
      <c r="AP19" s="7">
        <v>6.0</v>
      </c>
      <c r="AQ19" s="7">
        <v>6.0</v>
      </c>
      <c r="AR19" s="7">
        <v>5.0</v>
      </c>
      <c r="AS19" s="7"/>
      <c r="AT19" s="8"/>
      <c r="AU19" s="8"/>
      <c r="AV19" s="8"/>
      <c r="AW19" s="8"/>
      <c r="AX19" s="8"/>
      <c r="AY19" s="8">
        <v>0.0</v>
      </c>
      <c r="AZ19" s="9">
        <f t="shared" si="2"/>
        <v>5.5</v>
      </c>
    </row>
    <row r="20">
      <c r="A20" s="4">
        <v>42653.49111740741</v>
      </c>
      <c r="B20" s="5">
        <v>35182.0</v>
      </c>
      <c r="C20" s="2" t="s">
        <v>161</v>
      </c>
      <c r="D20" s="2" t="s">
        <v>47</v>
      </c>
      <c r="E20" s="2" t="s">
        <v>179</v>
      </c>
      <c r="F20" s="2" t="s">
        <v>180</v>
      </c>
      <c r="G20" s="2"/>
      <c r="H20" s="2" t="s">
        <v>66</v>
      </c>
      <c r="I20" s="2" t="s">
        <v>51</v>
      </c>
      <c r="J20" s="2" t="s">
        <v>68</v>
      </c>
      <c r="K20" s="2" t="s">
        <v>53</v>
      </c>
      <c r="L20" s="2" t="s">
        <v>84</v>
      </c>
      <c r="M20" s="2" t="s">
        <v>55</v>
      </c>
      <c r="N20" s="2" t="s">
        <v>96</v>
      </c>
      <c r="O20" s="2" t="s">
        <v>174</v>
      </c>
      <c r="P20" s="4">
        <v>27711.491122685184</v>
      </c>
      <c r="Q20" s="5">
        <v>20240.491122685184</v>
      </c>
      <c r="R20" s="2" t="s">
        <v>73</v>
      </c>
      <c r="S20" s="2" t="s">
        <v>98</v>
      </c>
      <c r="T20" s="2" t="s">
        <v>58</v>
      </c>
      <c r="U20" s="2" t="s">
        <v>58</v>
      </c>
      <c r="V20" s="2"/>
      <c r="W20" s="2" t="s">
        <v>98</v>
      </c>
      <c r="X20" s="2" t="s">
        <v>98</v>
      </c>
      <c r="Y20" s="2" t="s">
        <v>61</v>
      </c>
      <c r="Z20" s="2" t="s">
        <v>61</v>
      </c>
      <c r="AA20" s="2" t="s">
        <v>62</v>
      </c>
      <c r="AB20" s="2" t="s">
        <v>63</v>
      </c>
      <c r="AC20" s="2" t="s">
        <v>74</v>
      </c>
      <c r="AD20" s="2" t="s">
        <v>81</v>
      </c>
      <c r="AE20" s="2"/>
      <c r="AF20" s="2" t="s">
        <v>63</v>
      </c>
      <c r="AG20" s="2" t="s">
        <v>181</v>
      </c>
      <c r="AH20" s="2" t="s">
        <v>182</v>
      </c>
      <c r="AI20" s="2" t="s">
        <v>181</v>
      </c>
      <c r="AJ20" s="2" t="s">
        <v>79</v>
      </c>
      <c r="AK20" s="2" t="s">
        <v>183</v>
      </c>
      <c r="AL20" s="2" t="s">
        <v>82</v>
      </c>
      <c r="AM20" s="2" t="s">
        <v>82</v>
      </c>
      <c r="AN20" s="2" t="s">
        <v>82</v>
      </c>
      <c r="AO20" s="7">
        <v>8.0</v>
      </c>
      <c r="AP20" s="7">
        <v>5.0</v>
      </c>
      <c r="AQ20" s="7">
        <v>6.0</v>
      </c>
      <c r="AR20" s="7">
        <v>6.0</v>
      </c>
      <c r="AS20" s="7"/>
      <c r="AT20" s="8"/>
      <c r="AU20" s="8"/>
      <c r="AV20" s="8"/>
      <c r="AW20" s="8"/>
      <c r="AX20" s="8"/>
      <c r="AY20" s="8">
        <v>0.0</v>
      </c>
      <c r="AZ20" s="9">
        <f t="shared" si="2"/>
        <v>6.25</v>
      </c>
    </row>
    <row r="21">
      <c r="A21" s="4">
        <v>42653.4912355787</v>
      </c>
      <c r="B21" s="5">
        <v>35064.0</v>
      </c>
      <c r="C21" s="2" t="s">
        <v>161</v>
      </c>
      <c r="D21" s="2" t="s">
        <v>47</v>
      </c>
      <c r="E21" s="2" t="s">
        <v>48</v>
      </c>
      <c r="F21" s="2" t="s">
        <v>184</v>
      </c>
      <c r="G21" s="2"/>
      <c r="H21" s="2" t="s">
        <v>120</v>
      </c>
      <c r="I21" s="2" t="s">
        <v>162</v>
      </c>
      <c r="J21" s="2" t="s">
        <v>52</v>
      </c>
      <c r="K21" s="2" t="s">
        <v>143</v>
      </c>
      <c r="L21" s="2" t="s">
        <v>95</v>
      </c>
      <c r="M21" s="2" t="s">
        <v>70</v>
      </c>
      <c r="N21" s="2" t="s">
        <v>113</v>
      </c>
      <c r="O21" s="2" t="s">
        <v>72</v>
      </c>
      <c r="P21" s="4">
        <v>27475.491238425926</v>
      </c>
      <c r="Q21" s="5">
        <v>19886.491238425926</v>
      </c>
      <c r="R21" s="2" t="s">
        <v>57</v>
      </c>
      <c r="S21" s="2" t="s">
        <v>57</v>
      </c>
      <c r="T21" s="2" t="s">
        <v>58</v>
      </c>
      <c r="U21" s="2" t="s">
        <v>58</v>
      </c>
      <c r="V21" s="2" t="s">
        <v>88</v>
      </c>
      <c r="W21" s="2" t="s">
        <v>59</v>
      </c>
      <c r="X21" s="2" t="s">
        <v>170</v>
      </c>
      <c r="Y21" s="2" t="s">
        <v>60</v>
      </c>
      <c r="Z21" s="2" t="s">
        <v>101</v>
      </c>
      <c r="AA21" s="2" t="s">
        <v>62</v>
      </c>
      <c r="AB21" s="2" t="s">
        <v>63</v>
      </c>
      <c r="AC21" s="2" t="s">
        <v>74</v>
      </c>
      <c r="AD21" s="2" t="s">
        <v>82</v>
      </c>
      <c r="AE21" s="2" t="s">
        <v>88</v>
      </c>
      <c r="AF21" s="2" t="s">
        <v>63</v>
      </c>
      <c r="AG21" s="7">
        <v>16.0</v>
      </c>
      <c r="AH21" s="2" t="s">
        <v>104</v>
      </c>
      <c r="AI21" s="2" t="s">
        <v>172</v>
      </c>
      <c r="AJ21" s="2" t="s">
        <v>124</v>
      </c>
      <c r="AK21" s="2" t="s">
        <v>185</v>
      </c>
      <c r="AL21" s="2" t="s">
        <v>82</v>
      </c>
      <c r="AM21" s="2" t="s">
        <v>75</v>
      </c>
      <c r="AN21" s="2" t="s">
        <v>82</v>
      </c>
      <c r="AO21" s="7">
        <v>4.0</v>
      </c>
      <c r="AP21" s="7">
        <v>4.0</v>
      </c>
      <c r="AQ21" s="7">
        <v>7.0</v>
      </c>
      <c r="AR21" s="7">
        <v>5.0</v>
      </c>
      <c r="AS21" s="7"/>
      <c r="AT21" s="8"/>
      <c r="AU21" s="8"/>
      <c r="AV21" s="8"/>
      <c r="AW21" s="8"/>
      <c r="AX21" s="8"/>
      <c r="AY21" s="8">
        <v>2.0</v>
      </c>
      <c r="AZ21" s="9">
        <f t="shared" si="2"/>
        <v>5</v>
      </c>
    </row>
    <row r="22">
      <c r="A22" s="4">
        <v>42653.4925920949</v>
      </c>
      <c r="B22" s="5">
        <v>35052.0</v>
      </c>
      <c r="C22" s="2" t="s">
        <v>161</v>
      </c>
      <c r="D22" s="2" t="s">
        <v>47</v>
      </c>
      <c r="E22" s="2" t="s">
        <v>48</v>
      </c>
      <c r="F22" s="2" t="s">
        <v>94</v>
      </c>
      <c r="G22" s="2"/>
      <c r="H22" s="2" t="s">
        <v>120</v>
      </c>
      <c r="I22" s="2" t="s">
        <v>162</v>
      </c>
      <c r="J22" s="2" t="s">
        <v>111</v>
      </c>
      <c r="K22" s="2" t="s">
        <v>53</v>
      </c>
      <c r="L22" s="2" t="s">
        <v>54</v>
      </c>
      <c r="M22" s="2" t="s">
        <v>70</v>
      </c>
      <c r="N22" s="2" t="s">
        <v>113</v>
      </c>
      <c r="O22" s="2" t="s">
        <v>163</v>
      </c>
      <c r="P22" s="4">
        <v>27451.492592592593</v>
      </c>
      <c r="Q22" s="5">
        <v>19850.492592592593</v>
      </c>
      <c r="R22" s="2" t="s">
        <v>57</v>
      </c>
      <c r="S22" s="2" t="s">
        <v>73</v>
      </c>
      <c r="T22" s="2" t="s">
        <v>58</v>
      </c>
      <c r="U22" s="2" t="s">
        <v>58</v>
      </c>
      <c r="V22" s="2"/>
      <c r="W22" s="2" t="s">
        <v>57</v>
      </c>
      <c r="X22" s="2" t="s">
        <v>57</v>
      </c>
      <c r="Y22" s="2" t="s">
        <v>61</v>
      </c>
      <c r="Z22" s="2" t="s">
        <v>101</v>
      </c>
      <c r="AA22" s="2" t="s">
        <v>62</v>
      </c>
      <c r="AB22" s="2" t="s">
        <v>74</v>
      </c>
      <c r="AC22" s="2" t="s">
        <v>74</v>
      </c>
      <c r="AD22" s="2" t="s">
        <v>75</v>
      </c>
      <c r="AE22" s="2"/>
      <c r="AF22" s="2" t="s">
        <v>63</v>
      </c>
      <c r="AG22" s="7">
        <v>17.0</v>
      </c>
      <c r="AH22" s="2" t="s">
        <v>165</v>
      </c>
      <c r="AI22" s="2" t="s">
        <v>109</v>
      </c>
      <c r="AJ22" s="2" t="s">
        <v>124</v>
      </c>
      <c r="AK22" s="2" t="s">
        <v>186</v>
      </c>
      <c r="AL22" s="2" t="s">
        <v>75</v>
      </c>
      <c r="AM22" s="2" t="s">
        <v>82</v>
      </c>
      <c r="AN22" s="2" t="s">
        <v>75</v>
      </c>
      <c r="AO22" s="7">
        <v>7.0</v>
      </c>
      <c r="AP22" s="7">
        <v>6.0</v>
      </c>
      <c r="AQ22" s="7">
        <v>7.0</v>
      </c>
      <c r="AR22" s="7">
        <v>7.0</v>
      </c>
      <c r="AS22" s="7"/>
      <c r="AT22" s="8"/>
      <c r="AU22" s="8"/>
      <c r="AV22" s="8"/>
      <c r="AW22" s="8"/>
      <c r="AX22" s="8"/>
      <c r="AY22" s="8">
        <v>0.0</v>
      </c>
      <c r="AZ22" s="9">
        <f t="shared" si="2"/>
        <v>6.75</v>
      </c>
    </row>
    <row r="23">
      <c r="A23" s="4">
        <v>42653.49267587963</v>
      </c>
      <c r="B23" s="5">
        <v>35309.0</v>
      </c>
      <c r="C23" s="2" t="s">
        <v>161</v>
      </c>
      <c r="D23" s="2" t="s">
        <v>47</v>
      </c>
      <c r="E23" s="2" t="s">
        <v>187</v>
      </c>
      <c r="F23" s="2" t="s">
        <v>188</v>
      </c>
      <c r="G23" s="2"/>
      <c r="H23" s="2" t="s">
        <v>66</v>
      </c>
      <c r="I23" s="2" t="s">
        <v>51</v>
      </c>
      <c r="J23" s="2" t="s">
        <v>68</v>
      </c>
      <c r="K23" s="2" t="s">
        <v>53</v>
      </c>
      <c r="L23" s="2" t="s">
        <v>95</v>
      </c>
      <c r="M23" s="2" t="s">
        <v>189</v>
      </c>
      <c r="N23" s="2" t="s">
        <v>96</v>
      </c>
      <c r="O23" s="2" t="s">
        <v>97</v>
      </c>
      <c r="P23" s="4">
        <v>27965.492673611112</v>
      </c>
      <c r="Q23" s="5">
        <v>20621.492673611112</v>
      </c>
      <c r="R23" s="2" t="s">
        <v>57</v>
      </c>
      <c r="S23" s="2" t="s">
        <v>73</v>
      </c>
      <c r="T23" s="2" t="s">
        <v>58</v>
      </c>
      <c r="U23" s="2" t="s">
        <v>58</v>
      </c>
      <c r="V23" s="2"/>
      <c r="W23" s="2" t="s">
        <v>100</v>
      </c>
      <c r="X23" s="2" t="s">
        <v>98</v>
      </c>
      <c r="Y23" s="2" t="s">
        <v>61</v>
      </c>
      <c r="Z23" s="2" t="s">
        <v>61</v>
      </c>
      <c r="AA23" s="2" t="s">
        <v>62</v>
      </c>
      <c r="AB23" s="2" t="s">
        <v>63</v>
      </c>
      <c r="AC23" s="2" t="s">
        <v>74</v>
      </c>
      <c r="AD23" s="2" t="s">
        <v>82</v>
      </c>
      <c r="AE23" s="2" t="s">
        <v>190</v>
      </c>
      <c r="AF23" s="2" t="s">
        <v>63</v>
      </c>
      <c r="AG23" s="2" t="s">
        <v>191</v>
      </c>
      <c r="AH23" s="2" t="s">
        <v>131</v>
      </c>
      <c r="AI23" s="2" t="s">
        <v>192</v>
      </c>
      <c r="AJ23" s="2" t="s">
        <v>79</v>
      </c>
      <c r="AK23" s="2" t="s">
        <v>110</v>
      </c>
      <c r="AL23" s="2" t="s">
        <v>75</v>
      </c>
      <c r="AM23" s="2" t="s">
        <v>75</v>
      </c>
      <c r="AN23" s="2" t="s">
        <v>75</v>
      </c>
      <c r="AO23" s="7">
        <v>10.0</v>
      </c>
      <c r="AP23" s="7">
        <v>10.0</v>
      </c>
      <c r="AQ23" s="7">
        <v>10.0</v>
      </c>
      <c r="AR23" s="7">
        <v>9.0</v>
      </c>
      <c r="AS23" s="7"/>
      <c r="AT23" s="8"/>
      <c r="AU23" s="8"/>
      <c r="AV23" s="8"/>
      <c r="AW23" s="8"/>
      <c r="AX23" s="8"/>
      <c r="AY23" s="8">
        <v>0.0</v>
      </c>
      <c r="AZ23" s="9">
        <f t="shared" si="2"/>
        <v>9.75</v>
      </c>
    </row>
    <row r="24">
      <c r="A24" s="4">
        <v>42653.49287800926</v>
      </c>
      <c r="B24" s="5">
        <v>34989.0</v>
      </c>
      <c r="C24" s="2" t="s">
        <v>161</v>
      </c>
      <c r="D24" s="2" t="s">
        <v>47</v>
      </c>
      <c r="E24" s="2" t="s">
        <v>187</v>
      </c>
      <c r="F24" s="2" t="s">
        <v>193</v>
      </c>
      <c r="G24" s="2"/>
      <c r="H24" s="2" t="s">
        <v>194</v>
      </c>
      <c r="I24" s="2" t="s">
        <v>51</v>
      </c>
      <c r="J24" s="2" t="s">
        <v>111</v>
      </c>
      <c r="K24" s="2" t="s">
        <v>53</v>
      </c>
      <c r="L24" s="2" t="s">
        <v>69</v>
      </c>
      <c r="M24" s="2" t="s">
        <v>55</v>
      </c>
      <c r="N24" s="2" t="s">
        <v>113</v>
      </c>
      <c r="O24" s="2" t="s">
        <v>72</v>
      </c>
      <c r="P24" s="4">
        <v>27325.492881944443</v>
      </c>
      <c r="Q24" s="5">
        <v>19661.492881944443</v>
      </c>
      <c r="R24" s="2" t="s">
        <v>57</v>
      </c>
      <c r="S24" s="2" t="s">
        <v>57</v>
      </c>
      <c r="T24" s="2" t="s">
        <v>58</v>
      </c>
      <c r="U24" s="2" t="s">
        <v>58</v>
      </c>
      <c r="V24" s="2"/>
      <c r="W24" s="2" t="s">
        <v>57</v>
      </c>
      <c r="X24" s="2" t="s">
        <v>170</v>
      </c>
      <c r="Y24" s="2" t="s">
        <v>60</v>
      </c>
      <c r="Z24" s="2" t="s">
        <v>61</v>
      </c>
      <c r="AA24" s="2" t="s">
        <v>62</v>
      </c>
      <c r="AB24" s="2" t="s">
        <v>63</v>
      </c>
      <c r="AC24" s="2" t="s">
        <v>74</v>
      </c>
      <c r="AD24" s="2" t="s">
        <v>75</v>
      </c>
      <c r="AE24" s="2"/>
      <c r="AF24" s="2" t="s">
        <v>63</v>
      </c>
      <c r="AG24" s="2"/>
      <c r="AH24" s="2"/>
      <c r="AI24" s="2"/>
      <c r="AJ24" s="2" t="s">
        <v>124</v>
      </c>
      <c r="AK24" s="2"/>
      <c r="AL24" s="2" t="s">
        <v>82</v>
      </c>
      <c r="AM24" s="2" t="s">
        <v>81</v>
      </c>
      <c r="AN24" s="2" t="s">
        <v>82</v>
      </c>
      <c r="AO24" s="7">
        <v>5.0</v>
      </c>
      <c r="AP24" s="7">
        <v>8.0</v>
      </c>
      <c r="AQ24" s="7">
        <v>10.0</v>
      </c>
      <c r="AR24" s="7">
        <v>7.0</v>
      </c>
      <c r="AS24" s="7"/>
      <c r="AT24" s="8"/>
      <c r="AU24" s="8"/>
      <c r="AV24" s="8"/>
      <c r="AW24" s="8"/>
      <c r="AX24" s="8"/>
      <c r="AY24" s="8">
        <v>1.0</v>
      </c>
      <c r="AZ24" s="9">
        <f t="shared" si="2"/>
        <v>7.5</v>
      </c>
    </row>
    <row r="25">
      <c r="A25" s="4">
        <v>42653.49301546296</v>
      </c>
      <c r="B25" s="5">
        <v>35062.0</v>
      </c>
      <c r="C25" s="2" t="s">
        <v>161</v>
      </c>
      <c r="D25" s="2" t="s">
        <v>47</v>
      </c>
      <c r="E25" s="2" t="s">
        <v>48</v>
      </c>
      <c r="F25" s="2" t="s">
        <v>195</v>
      </c>
      <c r="G25" s="2"/>
      <c r="H25" s="2" t="s">
        <v>66</v>
      </c>
      <c r="I25" s="2" t="s">
        <v>196</v>
      </c>
      <c r="J25" s="2" t="s">
        <v>68</v>
      </c>
      <c r="K25" s="2" t="s">
        <v>53</v>
      </c>
      <c r="L25" s="2" t="s">
        <v>69</v>
      </c>
      <c r="M25" s="2" t="s">
        <v>85</v>
      </c>
      <c r="N25" s="2" t="s">
        <v>86</v>
      </c>
      <c r="O25" s="2" t="s">
        <v>97</v>
      </c>
      <c r="P25" s="4">
        <v>27471.49302083333</v>
      </c>
      <c r="Q25" s="5">
        <v>19880.49302083333</v>
      </c>
      <c r="R25" s="2" t="s">
        <v>57</v>
      </c>
      <c r="S25" s="2" t="s">
        <v>73</v>
      </c>
      <c r="T25" s="2" t="s">
        <v>58</v>
      </c>
      <c r="U25" s="2" t="s">
        <v>58</v>
      </c>
      <c r="V25" s="2"/>
      <c r="W25" s="2" t="s">
        <v>73</v>
      </c>
      <c r="X25" s="2" t="s">
        <v>170</v>
      </c>
      <c r="Y25" s="2" t="s">
        <v>61</v>
      </c>
      <c r="Z25" s="2" t="s">
        <v>61</v>
      </c>
      <c r="AA25" s="2" t="s">
        <v>62</v>
      </c>
      <c r="AB25" s="2" t="s">
        <v>63</v>
      </c>
      <c r="AC25" s="2" t="s">
        <v>74</v>
      </c>
      <c r="AD25" s="2" t="s">
        <v>75</v>
      </c>
      <c r="AE25" s="2"/>
      <c r="AF25" s="2" t="s">
        <v>63</v>
      </c>
      <c r="AG25" s="2"/>
      <c r="AH25" s="7">
        <v>9.0</v>
      </c>
      <c r="AI25" s="7">
        <v>9.0</v>
      </c>
      <c r="AJ25" s="2" t="s">
        <v>79</v>
      </c>
      <c r="AK25" s="7">
        <v>8.0</v>
      </c>
      <c r="AL25" s="2" t="s">
        <v>75</v>
      </c>
      <c r="AM25" s="2" t="s">
        <v>81</v>
      </c>
      <c r="AN25" s="2" t="s">
        <v>75</v>
      </c>
      <c r="AO25" s="7">
        <v>10.0</v>
      </c>
      <c r="AP25" s="7">
        <v>10.0</v>
      </c>
      <c r="AQ25" s="7">
        <v>10.0</v>
      </c>
      <c r="AR25" s="7">
        <v>10.0</v>
      </c>
      <c r="AS25" s="7"/>
      <c r="AT25" s="8"/>
      <c r="AU25" s="8"/>
      <c r="AV25" s="8"/>
      <c r="AW25" s="8"/>
      <c r="AX25" s="8"/>
      <c r="AY25" s="8">
        <v>0.0</v>
      </c>
      <c r="AZ25" s="9">
        <f t="shared" si="2"/>
        <v>10</v>
      </c>
    </row>
    <row r="26">
      <c r="A26" s="4">
        <v>42653.49357608796</v>
      </c>
      <c r="B26" s="5">
        <v>35198.0</v>
      </c>
      <c r="C26" s="2" t="s">
        <v>161</v>
      </c>
      <c r="D26" s="2" t="s">
        <v>47</v>
      </c>
      <c r="E26" s="2" t="s">
        <v>48</v>
      </c>
      <c r="F26" s="2" t="s">
        <v>167</v>
      </c>
      <c r="G26" s="2"/>
      <c r="H26" s="2" t="s">
        <v>66</v>
      </c>
      <c r="I26" s="2" t="s">
        <v>197</v>
      </c>
      <c r="J26" s="2" t="s">
        <v>68</v>
      </c>
      <c r="K26" s="2" t="s">
        <v>53</v>
      </c>
      <c r="L26" s="2" t="s">
        <v>95</v>
      </c>
      <c r="M26" s="2" t="s">
        <v>55</v>
      </c>
      <c r="N26" s="2" t="s">
        <v>113</v>
      </c>
      <c r="O26" s="2" t="s">
        <v>97</v>
      </c>
      <c r="P26" s="4">
        <v>27743.49357638889</v>
      </c>
      <c r="Q26" s="5">
        <v>20288.49357638889</v>
      </c>
      <c r="R26" s="2" t="s">
        <v>57</v>
      </c>
      <c r="S26" s="2" t="s">
        <v>57</v>
      </c>
      <c r="T26" s="2" t="s">
        <v>58</v>
      </c>
      <c r="U26" s="2" t="s">
        <v>58</v>
      </c>
      <c r="V26" s="2"/>
      <c r="W26" s="2" t="s">
        <v>159</v>
      </c>
      <c r="X26" s="2" t="s">
        <v>170</v>
      </c>
      <c r="Y26" s="2" t="s">
        <v>61</v>
      </c>
      <c r="Z26" s="2" t="s">
        <v>61</v>
      </c>
      <c r="AA26" s="2" t="s">
        <v>62</v>
      </c>
      <c r="AB26" s="2" t="s">
        <v>63</v>
      </c>
      <c r="AC26" s="2" t="s">
        <v>74</v>
      </c>
      <c r="AD26" s="2" t="s">
        <v>93</v>
      </c>
      <c r="AE26" s="2"/>
      <c r="AF26" s="2" t="s">
        <v>63</v>
      </c>
      <c r="AG26" s="7">
        <v>80.0</v>
      </c>
      <c r="AH26" s="2" t="s">
        <v>198</v>
      </c>
      <c r="AI26" s="2" t="s">
        <v>199</v>
      </c>
      <c r="AJ26" s="2" t="s">
        <v>79</v>
      </c>
      <c r="AK26" s="2" t="s">
        <v>199</v>
      </c>
      <c r="AL26" s="2" t="s">
        <v>75</v>
      </c>
      <c r="AM26" s="2" t="s">
        <v>81</v>
      </c>
      <c r="AN26" s="2" t="s">
        <v>82</v>
      </c>
      <c r="AO26" s="7">
        <v>9.0</v>
      </c>
      <c r="AP26" s="7">
        <v>6.0</v>
      </c>
      <c r="AQ26" s="7">
        <v>8.0</v>
      </c>
      <c r="AR26" s="7">
        <v>6.0</v>
      </c>
      <c r="AS26" s="7"/>
      <c r="AT26" s="8"/>
      <c r="AU26" s="8"/>
      <c r="AV26" s="8"/>
      <c r="AW26" s="8"/>
      <c r="AX26" s="8"/>
      <c r="AY26" s="8">
        <v>0.0</v>
      </c>
      <c r="AZ26" s="9">
        <f t="shared" si="2"/>
        <v>7.25</v>
      </c>
    </row>
    <row r="27">
      <c r="A27" s="4">
        <v>42653.49366037037</v>
      </c>
      <c r="B27" s="5">
        <v>35169.0</v>
      </c>
      <c r="C27" s="2" t="s">
        <v>161</v>
      </c>
      <c r="D27" s="2" t="s">
        <v>47</v>
      </c>
      <c r="E27" s="2" t="s">
        <v>48</v>
      </c>
      <c r="F27" s="2" t="s">
        <v>133</v>
      </c>
      <c r="G27" s="2"/>
      <c r="H27" s="2" t="s">
        <v>120</v>
      </c>
      <c r="I27" s="2" t="s">
        <v>200</v>
      </c>
      <c r="J27" s="2" t="s">
        <v>111</v>
      </c>
      <c r="K27" s="2" t="s">
        <v>53</v>
      </c>
      <c r="L27" s="2" t="s">
        <v>54</v>
      </c>
      <c r="M27" s="2" t="s">
        <v>55</v>
      </c>
      <c r="N27" s="2" t="s">
        <v>96</v>
      </c>
      <c r="O27" s="2" t="s">
        <v>97</v>
      </c>
      <c r="P27" s="4">
        <v>27685.49365740741</v>
      </c>
      <c r="Q27" s="5">
        <v>20201.49365740741</v>
      </c>
      <c r="R27" s="2" t="s">
        <v>73</v>
      </c>
      <c r="S27" s="2" t="s">
        <v>100</v>
      </c>
      <c r="T27" s="2" t="s">
        <v>58</v>
      </c>
      <c r="U27" s="2" t="s">
        <v>58</v>
      </c>
      <c r="V27" s="2"/>
      <c r="W27" s="2" t="s">
        <v>100</v>
      </c>
      <c r="X27" s="2" t="s">
        <v>170</v>
      </c>
      <c r="Y27" s="2" t="s">
        <v>60</v>
      </c>
      <c r="Z27" s="2" t="s">
        <v>61</v>
      </c>
      <c r="AA27" s="2" t="s">
        <v>62</v>
      </c>
      <c r="AB27" s="2" t="s">
        <v>63</v>
      </c>
      <c r="AC27" s="2" t="s">
        <v>74</v>
      </c>
      <c r="AD27" s="2" t="s">
        <v>82</v>
      </c>
      <c r="AE27" s="2" t="s">
        <v>201</v>
      </c>
      <c r="AF27" s="2" t="s">
        <v>63</v>
      </c>
      <c r="AG27" s="2" t="s">
        <v>202</v>
      </c>
      <c r="AH27" s="2" t="s">
        <v>203</v>
      </c>
      <c r="AI27" s="2" t="s">
        <v>80</v>
      </c>
      <c r="AJ27" s="2" t="s">
        <v>124</v>
      </c>
      <c r="AK27" s="2" t="s">
        <v>204</v>
      </c>
      <c r="AL27" s="2" t="s">
        <v>75</v>
      </c>
      <c r="AM27" s="2" t="s">
        <v>75</v>
      </c>
      <c r="AN27" s="2" t="s">
        <v>82</v>
      </c>
      <c r="AO27" s="7">
        <v>9.0</v>
      </c>
      <c r="AP27" s="7">
        <v>6.0</v>
      </c>
      <c r="AQ27" s="7">
        <v>9.0</v>
      </c>
      <c r="AR27" s="7">
        <v>7.0</v>
      </c>
      <c r="AS27" s="7"/>
      <c r="AT27" s="8"/>
      <c r="AU27" s="8"/>
      <c r="AV27" s="8"/>
      <c r="AW27" s="8"/>
      <c r="AX27" s="8"/>
      <c r="AY27" s="8">
        <v>2.0</v>
      </c>
      <c r="AZ27" s="9">
        <f t="shared" si="2"/>
        <v>7.75</v>
      </c>
    </row>
    <row r="28">
      <c r="A28" s="4">
        <v>42653.494250104166</v>
      </c>
      <c r="B28" s="5">
        <v>35553.0</v>
      </c>
      <c r="C28" s="2" t="s">
        <v>161</v>
      </c>
      <c r="D28" s="2" t="s">
        <v>47</v>
      </c>
      <c r="E28" s="2" t="s">
        <v>205</v>
      </c>
      <c r="F28" s="2" t="s">
        <v>206</v>
      </c>
      <c r="G28" s="2"/>
      <c r="H28" s="2" t="s">
        <v>66</v>
      </c>
      <c r="I28" s="2" t="s">
        <v>207</v>
      </c>
      <c r="J28" s="2" t="s">
        <v>52</v>
      </c>
      <c r="K28" s="2" t="s">
        <v>143</v>
      </c>
      <c r="L28" s="2" t="s">
        <v>95</v>
      </c>
      <c r="M28" s="2" t="s">
        <v>55</v>
      </c>
      <c r="N28" s="2" t="s">
        <v>96</v>
      </c>
      <c r="O28" s="2" t="s">
        <v>208</v>
      </c>
      <c r="P28" s="4">
        <v>28453.494247685187</v>
      </c>
      <c r="Q28" s="5">
        <v>21353.494247685187</v>
      </c>
      <c r="R28" s="2" t="s">
        <v>73</v>
      </c>
      <c r="S28" s="2" t="s">
        <v>100</v>
      </c>
      <c r="T28" s="2" t="s">
        <v>57</v>
      </c>
      <c r="U28" s="2" t="s">
        <v>58</v>
      </c>
      <c r="V28" s="2" t="s">
        <v>209</v>
      </c>
      <c r="W28" s="2" t="s">
        <v>59</v>
      </c>
      <c r="X28" s="2" t="s">
        <v>170</v>
      </c>
      <c r="Y28" s="2" t="s">
        <v>60</v>
      </c>
      <c r="Z28" s="2" t="s">
        <v>210</v>
      </c>
      <c r="AA28" s="2" t="s">
        <v>62</v>
      </c>
      <c r="AB28" s="2" t="s">
        <v>63</v>
      </c>
      <c r="AC28" s="2" t="s">
        <v>74</v>
      </c>
      <c r="AD28" s="2" t="s">
        <v>75</v>
      </c>
      <c r="AE28" s="2" t="s">
        <v>211</v>
      </c>
      <c r="AF28" s="2" t="s">
        <v>63</v>
      </c>
      <c r="AG28" s="2" t="s">
        <v>171</v>
      </c>
      <c r="AH28" s="2" t="s">
        <v>212</v>
      </c>
      <c r="AI28" s="7">
        <v>10.0</v>
      </c>
      <c r="AJ28" s="2" t="s">
        <v>79</v>
      </c>
      <c r="AK28" s="2" t="s">
        <v>139</v>
      </c>
      <c r="AL28" s="2" t="s">
        <v>75</v>
      </c>
      <c r="AM28" s="2" t="s">
        <v>75</v>
      </c>
      <c r="AN28" s="2" t="s">
        <v>82</v>
      </c>
      <c r="AO28" s="7">
        <v>10.0</v>
      </c>
      <c r="AP28" s="7">
        <v>10.0</v>
      </c>
      <c r="AQ28" s="7">
        <v>9.0</v>
      </c>
      <c r="AR28" s="7">
        <v>8.0</v>
      </c>
      <c r="AS28" s="7"/>
      <c r="AT28" s="8"/>
      <c r="AU28" s="8"/>
      <c r="AV28" s="8"/>
      <c r="AW28" s="8"/>
      <c r="AX28" s="8"/>
      <c r="AY28" s="8">
        <v>0.0</v>
      </c>
      <c r="AZ28" s="9">
        <f t="shared" si="2"/>
        <v>9.25</v>
      </c>
    </row>
    <row r="29">
      <c r="A29" s="4">
        <v>42653.49467954861</v>
      </c>
      <c r="B29" s="5">
        <v>35200.0</v>
      </c>
      <c r="C29" s="2" t="s">
        <v>161</v>
      </c>
      <c r="D29" s="2" t="s">
        <v>47</v>
      </c>
      <c r="E29" s="2" t="s">
        <v>48</v>
      </c>
      <c r="F29" s="2" t="s">
        <v>213</v>
      </c>
      <c r="G29" s="2"/>
      <c r="H29" s="2" t="s">
        <v>214</v>
      </c>
      <c r="I29" s="2" t="s">
        <v>51</v>
      </c>
      <c r="J29" s="2" t="s">
        <v>68</v>
      </c>
      <c r="K29" s="2" t="s">
        <v>143</v>
      </c>
      <c r="L29" s="2" t="s">
        <v>95</v>
      </c>
      <c r="M29" s="2" t="s">
        <v>55</v>
      </c>
      <c r="N29" s="2" t="s">
        <v>86</v>
      </c>
      <c r="O29" s="2" t="s">
        <v>215</v>
      </c>
      <c r="P29" s="4">
        <v>27747.494675925926</v>
      </c>
      <c r="Q29" s="5">
        <v>20294.494675925926</v>
      </c>
      <c r="R29" s="2" t="s">
        <v>57</v>
      </c>
      <c r="S29" s="2" t="s">
        <v>57</v>
      </c>
      <c r="T29" s="2" t="s">
        <v>58</v>
      </c>
      <c r="U29" s="2" t="s">
        <v>58</v>
      </c>
      <c r="V29" s="2" t="s">
        <v>216</v>
      </c>
      <c r="W29" s="2" t="s">
        <v>59</v>
      </c>
      <c r="X29" s="2" t="s">
        <v>170</v>
      </c>
      <c r="Y29" s="2" t="s">
        <v>101</v>
      </c>
      <c r="Z29" s="2" t="s">
        <v>210</v>
      </c>
      <c r="AA29" s="2" t="s">
        <v>217</v>
      </c>
      <c r="AB29" s="2" t="s">
        <v>74</v>
      </c>
      <c r="AC29" s="2" t="s">
        <v>74</v>
      </c>
      <c r="AD29" s="2" t="s">
        <v>75</v>
      </c>
      <c r="AE29" s="2" t="s">
        <v>218</v>
      </c>
      <c r="AF29" s="2" t="s">
        <v>63</v>
      </c>
      <c r="AG29" s="7">
        <v>8.5</v>
      </c>
      <c r="AH29" s="7">
        <v>9.03</v>
      </c>
      <c r="AI29" s="7">
        <v>9.75</v>
      </c>
      <c r="AJ29" s="2" t="s">
        <v>124</v>
      </c>
      <c r="AK29" s="7">
        <v>8.2</v>
      </c>
      <c r="AL29" s="2" t="s">
        <v>75</v>
      </c>
      <c r="AM29" s="2" t="s">
        <v>82</v>
      </c>
      <c r="AN29" s="2" t="s">
        <v>82</v>
      </c>
      <c r="AO29" s="7">
        <v>6.0</v>
      </c>
      <c r="AP29" s="7">
        <v>7.0</v>
      </c>
      <c r="AQ29" s="7">
        <v>8.0</v>
      </c>
      <c r="AR29" s="7">
        <v>6.0</v>
      </c>
      <c r="AS29" s="7"/>
      <c r="AT29" s="8"/>
      <c r="AU29" s="8"/>
      <c r="AV29" s="8"/>
      <c r="AW29" s="8"/>
      <c r="AX29" s="8"/>
      <c r="AY29" s="8">
        <v>0.0</v>
      </c>
      <c r="AZ29" s="9">
        <f t="shared" si="2"/>
        <v>6.75</v>
      </c>
    </row>
    <row r="30">
      <c r="A30" s="4">
        <v>42653.496069976856</v>
      </c>
      <c r="B30" s="5">
        <v>34653.0</v>
      </c>
      <c r="C30" s="2" t="s">
        <v>161</v>
      </c>
      <c r="D30" s="2" t="s">
        <v>47</v>
      </c>
      <c r="E30" s="2" t="s">
        <v>187</v>
      </c>
      <c r="F30" s="2" t="s">
        <v>219</v>
      </c>
      <c r="G30" s="2"/>
      <c r="H30" s="2" t="s">
        <v>194</v>
      </c>
      <c r="I30" s="2" t="s">
        <v>142</v>
      </c>
      <c r="J30" s="2" t="s">
        <v>52</v>
      </c>
      <c r="K30" s="2" t="s">
        <v>143</v>
      </c>
      <c r="L30" s="2" t="s">
        <v>144</v>
      </c>
      <c r="M30" s="2" t="s">
        <v>55</v>
      </c>
      <c r="N30" s="2" t="s">
        <v>113</v>
      </c>
      <c r="O30" s="2" t="s">
        <v>168</v>
      </c>
      <c r="P30" s="4">
        <v>26653.496064814815</v>
      </c>
      <c r="Q30" s="5">
        <v>18653.496064814815</v>
      </c>
      <c r="R30" s="2" t="s">
        <v>73</v>
      </c>
      <c r="S30" s="2" t="s">
        <v>57</v>
      </c>
      <c r="T30" s="2" t="s">
        <v>57</v>
      </c>
      <c r="U30" s="2" t="s">
        <v>58</v>
      </c>
      <c r="V30" s="2" t="s">
        <v>220</v>
      </c>
      <c r="W30" s="2" t="s">
        <v>59</v>
      </c>
      <c r="X30" s="2" t="s">
        <v>170</v>
      </c>
      <c r="Y30" s="2" t="s">
        <v>60</v>
      </c>
      <c r="Z30" s="2" t="s">
        <v>61</v>
      </c>
      <c r="AA30" s="2" t="s">
        <v>62</v>
      </c>
      <c r="AB30" s="2" t="s">
        <v>63</v>
      </c>
      <c r="AC30" s="2" t="s">
        <v>74</v>
      </c>
      <c r="AD30" s="2" t="s">
        <v>75</v>
      </c>
      <c r="AE30" s="2"/>
      <c r="AF30" s="2" t="s">
        <v>63</v>
      </c>
      <c r="AG30" s="7">
        <v>13.0</v>
      </c>
      <c r="AH30" s="2" t="s">
        <v>115</v>
      </c>
      <c r="AI30" s="2" t="s">
        <v>139</v>
      </c>
      <c r="AJ30" s="2" t="s">
        <v>221</v>
      </c>
      <c r="AK30" s="2" t="s">
        <v>222</v>
      </c>
      <c r="AL30" s="2" t="s">
        <v>82</v>
      </c>
      <c r="AM30" s="2" t="s">
        <v>81</v>
      </c>
      <c r="AN30" s="2" t="s">
        <v>82</v>
      </c>
      <c r="AO30" s="7">
        <v>5.0</v>
      </c>
      <c r="AP30" s="7">
        <v>8.0</v>
      </c>
      <c r="AQ30" s="7">
        <v>10.0</v>
      </c>
      <c r="AR30" s="7">
        <v>6.0</v>
      </c>
      <c r="AS30" s="7"/>
      <c r="AT30" s="8"/>
      <c r="AU30" s="8"/>
      <c r="AV30" s="8"/>
      <c r="AW30" s="8"/>
      <c r="AX30" s="8"/>
      <c r="AY30" s="8">
        <v>0.0</v>
      </c>
      <c r="AZ30" s="9">
        <f t="shared" si="2"/>
        <v>7.25</v>
      </c>
    </row>
    <row r="31">
      <c r="A31" s="4">
        <v>42653.496113125</v>
      </c>
      <c r="B31" s="5">
        <v>35242.0</v>
      </c>
      <c r="C31" s="2" t="s">
        <v>161</v>
      </c>
      <c r="D31" s="2" t="s">
        <v>47</v>
      </c>
      <c r="E31" s="2" t="s">
        <v>48</v>
      </c>
      <c r="F31" s="2" t="s">
        <v>94</v>
      </c>
      <c r="G31" s="2"/>
      <c r="H31" s="2" t="s">
        <v>120</v>
      </c>
      <c r="I31" s="2" t="s">
        <v>223</v>
      </c>
      <c r="J31" s="2" t="s">
        <v>68</v>
      </c>
      <c r="K31" s="2" t="s">
        <v>53</v>
      </c>
      <c r="L31" s="2" t="s">
        <v>69</v>
      </c>
      <c r="M31" s="2" t="s">
        <v>55</v>
      </c>
      <c r="N31" s="2" t="s">
        <v>113</v>
      </c>
      <c r="O31" s="2" t="s">
        <v>215</v>
      </c>
      <c r="P31" s="4">
        <v>27831.49611111111</v>
      </c>
      <c r="Q31" s="5">
        <v>20420.49611111111</v>
      </c>
      <c r="R31" s="2" t="s">
        <v>100</v>
      </c>
      <c r="S31" s="2" t="s">
        <v>100</v>
      </c>
      <c r="T31" s="2" t="s">
        <v>57</v>
      </c>
      <c r="U31" s="2" t="s">
        <v>58</v>
      </c>
      <c r="V31" s="2"/>
      <c r="W31" s="2" t="s">
        <v>59</v>
      </c>
      <c r="X31" s="2" t="s">
        <v>57</v>
      </c>
      <c r="Y31" s="2" t="s">
        <v>61</v>
      </c>
      <c r="Z31" s="2" t="s">
        <v>60</v>
      </c>
      <c r="AA31" s="2" t="s">
        <v>62</v>
      </c>
      <c r="AB31" s="2" t="s">
        <v>74</v>
      </c>
      <c r="AC31" s="2" t="s">
        <v>74</v>
      </c>
      <c r="AD31" s="2" t="s">
        <v>93</v>
      </c>
      <c r="AE31" s="2"/>
      <c r="AF31" s="2" t="s">
        <v>63</v>
      </c>
      <c r="AG31" s="7">
        <v>16.0</v>
      </c>
      <c r="AH31" s="2" t="s">
        <v>224</v>
      </c>
      <c r="AI31" s="2" t="s">
        <v>225</v>
      </c>
      <c r="AJ31" s="2" t="s">
        <v>124</v>
      </c>
      <c r="AK31" s="2" t="s">
        <v>226</v>
      </c>
      <c r="AL31" s="2" t="s">
        <v>75</v>
      </c>
      <c r="AM31" s="2" t="s">
        <v>81</v>
      </c>
      <c r="AN31" s="2" t="s">
        <v>75</v>
      </c>
      <c r="AO31" s="7">
        <v>6.0</v>
      </c>
      <c r="AP31" s="7">
        <v>5.0</v>
      </c>
      <c r="AQ31" s="7">
        <v>6.0</v>
      </c>
      <c r="AR31" s="7">
        <v>5.0</v>
      </c>
      <c r="AS31" s="7"/>
      <c r="AT31" s="8"/>
      <c r="AU31" s="8"/>
      <c r="AV31" s="8"/>
      <c r="AW31" s="8"/>
      <c r="AX31" s="8"/>
      <c r="AY31" s="8">
        <v>0.0</v>
      </c>
      <c r="AZ31" s="9">
        <f t="shared" si="2"/>
        <v>5.5</v>
      </c>
    </row>
    <row r="32">
      <c r="A32" s="4">
        <v>42653.496747453704</v>
      </c>
      <c r="B32" s="5">
        <v>35326.0</v>
      </c>
      <c r="C32" s="2" t="s">
        <v>161</v>
      </c>
      <c r="D32" s="2" t="s">
        <v>47</v>
      </c>
      <c r="E32" s="2" t="s">
        <v>48</v>
      </c>
      <c r="F32" s="2" t="s">
        <v>227</v>
      </c>
      <c r="G32" s="2"/>
      <c r="H32" s="2" t="s">
        <v>120</v>
      </c>
      <c r="I32" s="2" t="s">
        <v>228</v>
      </c>
      <c r="J32" s="2" t="s">
        <v>68</v>
      </c>
      <c r="K32" s="2" t="s">
        <v>53</v>
      </c>
      <c r="L32" s="2" t="s">
        <v>229</v>
      </c>
      <c r="M32" s="2" t="s">
        <v>55</v>
      </c>
      <c r="N32" s="2" t="s">
        <v>113</v>
      </c>
      <c r="O32" s="2" t="s">
        <v>174</v>
      </c>
      <c r="P32" s="4">
        <v>27999.496747685185</v>
      </c>
      <c r="Q32" s="5">
        <v>20672.496747685185</v>
      </c>
      <c r="R32" s="2" t="s">
        <v>57</v>
      </c>
      <c r="S32" s="2" t="s">
        <v>73</v>
      </c>
      <c r="T32" s="2" t="s">
        <v>58</v>
      </c>
      <c r="U32" s="2" t="s">
        <v>58</v>
      </c>
      <c r="V32" s="2"/>
      <c r="W32" s="2" t="s">
        <v>57</v>
      </c>
      <c r="X32" s="2" t="s">
        <v>73</v>
      </c>
      <c r="Y32" s="2" t="s">
        <v>61</v>
      </c>
      <c r="Z32" s="2" t="s">
        <v>61</v>
      </c>
      <c r="AA32" s="2" t="s">
        <v>62</v>
      </c>
      <c r="AB32" s="2" t="s">
        <v>74</v>
      </c>
      <c r="AC32" s="2" t="s">
        <v>74</v>
      </c>
      <c r="AD32" s="2" t="s">
        <v>82</v>
      </c>
      <c r="AE32" s="2"/>
      <c r="AF32" s="2" t="s">
        <v>63</v>
      </c>
      <c r="AG32" s="7">
        <v>17.0</v>
      </c>
      <c r="AH32" s="2" t="s">
        <v>230</v>
      </c>
      <c r="AI32" s="2" t="s">
        <v>117</v>
      </c>
      <c r="AJ32" s="2" t="s">
        <v>124</v>
      </c>
      <c r="AK32" s="2" t="s">
        <v>231</v>
      </c>
      <c r="AL32" s="2" t="s">
        <v>75</v>
      </c>
      <c r="AM32" s="2" t="s">
        <v>75</v>
      </c>
      <c r="AN32" s="2" t="s">
        <v>82</v>
      </c>
      <c r="AO32" s="7">
        <v>9.0</v>
      </c>
      <c r="AP32" s="7">
        <v>6.0</v>
      </c>
      <c r="AQ32" s="7">
        <v>7.0</v>
      </c>
      <c r="AR32" s="7">
        <v>6.0</v>
      </c>
      <c r="AS32" s="7"/>
      <c r="AT32" s="8"/>
      <c r="AU32" s="8"/>
      <c r="AV32" s="8"/>
      <c r="AW32" s="8"/>
      <c r="AX32" s="8"/>
      <c r="AY32" s="8">
        <v>0.0</v>
      </c>
      <c r="AZ32" s="9">
        <f t="shared" si="2"/>
        <v>7</v>
      </c>
    </row>
    <row r="33">
      <c r="A33" s="4">
        <v>42653.49682223379</v>
      </c>
      <c r="B33" s="5">
        <v>35168.0</v>
      </c>
      <c r="C33" s="2" t="s">
        <v>161</v>
      </c>
      <c r="D33" s="2" t="s">
        <v>47</v>
      </c>
      <c r="E33" s="2" t="s">
        <v>48</v>
      </c>
      <c r="F33" s="2" t="s">
        <v>155</v>
      </c>
      <c r="G33" s="2"/>
      <c r="H33" s="2" t="s">
        <v>232</v>
      </c>
      <c r="I33" s="2" t="s">
        <v>233</v>
      </c>
      <c r="J33" s="2" t="s">
        <v>234</v>
      </c>
      <c r="K33" s="2" t="s">
        <v>143</v>
      </c>
      <c r="L33" s="2" t="s">
        <v>95</v>
      </c>
      <c r="M33" s="2" t="s">
        <v>70</v>
      </c>
      <c r="N33" s="2" t="s">
        <v>113</v>
      </c>
      <c r="O33" s="2" t="s">
        <v>235</v>
      </c>
      <c r="P33" s="4">
        <v>27683.49681712963</v>
      </c>
      <c r="Q33" s="5">
        <v>20198.49681712963</v>
      </c>
      <c r="R33" s="2" t="s">
        <v>100</v>
      </c>
      <c r="S33" s="2" t="s">
        <v>100</v>
      </c>
      <c r="T33" s="2" t="s">
        <v>58</v>
      </c>
      <c r="U33" s="2" t="s">
        <v>58</v>
      </c>
      <c r="V33" s="2" t="s">
        <v>236</v>
      </c>
      <c r="W33" s="2" t="s">
        <v>59</v>
      </c>
      <c r="X33" s="2" t="s">
        <v>57</v>
      </c>
      <c r="Y33" s="2" t="s">
        <v>61</v>
      </c>
      <c r="Z33" s="2" t="s">
        <v>60</v>
      </c>
      <c r="AA33" s="2" t="s">
        <v>62</v>
      </c>
      <c r="AB33" s="2" t="s">
        <v>63</v>
      </c>
      <c r="AC33" s="2" t="s">
        <v>74</v>
      </c>
      <c r="AD33" s="2" t="s">
        <v>82</v>
      </c>
      <c r="AE33" s="2" t="s">
        <v>237</v>
      </c>
      <c r="AF33" s="2" t="s">
        <v>63</v>
      </c>
      <c r="AG33" s="2" t="s">
        <v>238</v>
      </c>
      <c r="AH33" s="2" t="s">
        <v>239</v>
      </c>
      <c r="AI33" s="2"/>
      <c r="AJ33" s="2" t="s">
        <v>124</v>
      </c>
      <c r="AK33" s="2" t="s">
        <v>240</v>
      </c>
      <c r="AL33" s="2" t="s">
        <v>93</v>
      </c>
      <c r="AM33" s="2" t="s">
        <v>93</v>
      </c>
      <c r="AN33" s="2" t="s">
        <v>75</v>
      </c>
      <c r="AO33" s="7">
        <v>5.0</v>
      </c>
      <c r="AP33" s="7">
        <v>5.0</v>
      </c>
      <c r="AQ33" s="7">
        <v>5.0</v>
      </c>
      <c r="AR33" s="7">
        <v>6.0</v>
      </c>
      <c r="AS33" s="7"/>
      <c r="AT33" s="8"/>
      <c r="AU33" s="8"/>
      <c r="AV33" s="8"/>
      <c r="AW33" s="8"/>
      <c r="AX33" s="8"/>
      <c r="AY33" s="8">
        <v>0.0</v>
      </c>
      <c r="AZ33" s="9">
        <f t="shared" si="2"/>
        <v>5.25</v>
      </c>
    </row>
    <row r="34">
      <c r="A34" s="4">
        <v>42653.49695554398</v>
      </c>
      <c r="B34" s="5">
        <v>35037.0</v>
      </c>
      <c r="C34" s="2" t="s">
        <v>161</v>
      </c>
      <c r="D34" s="2" t="s">
        <v>47</v>
      </c>
      <c r="E34" s="2" t="s">
        <v>241</v>
      </c>
      <c r="F34" s="2" t="s">
        <v>242</v>
      </c>
      <c r="G34" s="2"/>
      <c r="H34" s="2" t="s">
        <v>120</v>
      </c>
      <c r="I34" s="2" t="s">
        <v>51</v>
      </c>
      <c r="J34" s="2" t="s">
        <v>52</v>
      </c>
      <c r="K34" s="2" t="s">
        <v>143</v>
      </c>
      <c r="L34" s="2" t="s">
        <v>95</v>
      </c>
      <c r="M34" s="2" t="s">
        <v>55</v>
      </c>
      <c r="N34" s="2" t="s">
        <v>113</v>
      </c>
      <c r="O34" s="2" t="s">
        <v>97</v>
      </c>
      <c r="P34" s="4">
        <v>27421.49695601852</v>
      </c>
      <c r="Q34" s="5">
        <v>19805.49695601852</v>
      </c>
      <c r="R34" s="2" t="s">
        <v>57</v>
      </c>
      <c r="S34" s="2" t="s">
        <v>159</v>
      </c>
      <c r="T34" s="2" t="s">
        <v>58</v>
      </c>
      <c r="U34" s="2" t="s">
        <v>58</v>
      </c>
      <c r="V34" s="2" t="s">
        <v>243</v>
      </c>
      <c r="W34" s="2" t="s">
        <v>100</v>
      </c>
      <c r="X34" s="2" t="s">
        <v>100</v>
      </c>
      <c r="Y34" s="2" t="s">
        <v>60</v>
      </c>
      <c r="Z34" s="2" t="s">
        <v>210</v>
      </c>
      <c r="AA34" s="2" t="s">
        <v>62</v>
      </c>
      <c r="AB34" s="2" t="s">
        <v>74</v>
      </c>
      <c r="AC34" s="2" t="s">
        <v>74</v>
      </c>
      <c r="AD34" s="2" t="s">
        <v>75</v>
      </c>
      <c r="AE34" s="2" t="s">
        <v>244</v>
      </c>
      <c r="AF34" s="2" t="s">
        <v>63</v>
      </c>
      <c r="AG34" s="2"/>
      <c r="AH34" s="2"/>
      <c r="AI34" s="2" t="s">
        <v>245</v>
      </c>
      <c r="AJ34" s="2" t="s">
        <v>124</v>
      </c>
      <c r="AK34" s="2"/>
      <c r="AL34" s="2" t="s">
        <v>82</v>
      </c>
      <c r="AM34" s="2" t="s">
        <v>75</v>
      </c>
      <c r="AN34" s="2" t="s">
        <v>82</v>
      </c>
      <c r="AO34" s="7">
        <v>7.0</v>
      </c>
      <c r="AP34" s="7">
        <v>7.0</v>
      </c>
      <c r="AQ34" s="7">
        <v>8.0</v>
      </c>
      <c r="AR34" s="7">
        <v>6.0</v>
      </c>
      <c r="AS34" s="7"/>
      <c r="AT34" s="8"/>
      <c r="AU34" s="8"/>
      <c r="AV34" s="8"/>
      <c r="AW34" s="8"/>
      <c r="AX34" s="8"/>
      <c r="AY34" s="8">
        <v>0.0</v>
      </c>
      <c r="AZ34" s="9">
        <f t="shared" si="2"/>
        <v>7</v>
      </c>
    </row>
    <row r="35">
      <c r="A35" s="4">
        <v>42653.497479224534</v>
      </c>
      <c r="B35" s="5">
        <v>35015.0</v>
      </c>
      <c r="C35" s="2" t="s">
        <v>161</v>
      </c>
      <c r="D35" s="2" t="s">
        <v>47</v>
      </c>
      <c r="E35" s="2" t="s">
        <v>48</v>
      </c>
      <c r="F35" s="2" t="s">
        <v>65</v>
      </c>
      <c r="G35" s="2"/>
      <c r="H35" s="2" t="s">
        <v>120</v>
      </c>
      <c r="I35" s="2" t="s">
        <v>142</v>
      </c>
      <c r="J35" s="2" t="s">
        <v>52</v>
      </c>
      <c r="K35" s="2" t="s">
        <v>143</v>
      </c>
      <c r="L35" s="2" t="s">
        <v>144</v>
      </c>
      <c r="M35" s="2" t="s">
        <v>55</v>
      </c>
      <c r="N35" s="2" t="s">
        <v>113</v>
      </c>
      <c r="O35" s="2" t="s">
        <v>215</v>
      </c>
      <c r="P35" s="4">
        <v>27377.49747685185</v>
      </c>
      <c r="Q35" s="5">
        <v>19739.49747685185</v>
      </c>
      <c r="R35" s="2" t="s">
        <v>73</v>
      </c>
      <c r="S35" s="2" t="s">
        <v>57</v>
      </c>
      <c r="T35" s="2" t="s">
        <v>58</v>
      </c>
      <c r="U35" s="2" t="s">
        <v>58</v>
      </c>
      <c r="V35" s="2"/>
      <c r="W35" s="2" t="s">
        <v>59</v>
      </c>
      <c r="X35" s="2" t="s">
        <v>170</v>
      </c>
      <c r="Y35" s="2" t="s">
        <v>60</v>
      </c>
      <c r="Z35" s="2" t="s">
        <v>101</v>
      </c>
      <c r="AA35" s="2" t="s">
        <v>62</v>
      </c>
      <c r="AB35" s="2" t="s">
        <v>74</v>
      </c>
      <c r="AC35" s="2" t="s">
        <v>74</v>
      </c>
      <c r="AD35" s="2" t="s">
        <v>93</v>
      </c>
      <c r="AE35" s="2"/>
      <c r="AF35" s="2" t="s">
        <v>63</v>
      </c>
      <c r="AG35" s="7">
        <v>17.0</v>
      </c>
      <c r="AH35" s="2" t="s">
        <v>172</v>
      </c>
      <c r="AI35" s="7">
        <v>10.0</v>
      </c>
      <c r="AJ35" s="2" t="s">
        <v>124</v>
      </c>
      <c r="AK35" s="2" t="s">
        <v>172</v>
      </c>
      <c r="AL35" s="2" t="s">
        <v>82</v>
      </c>
      <c r="AM35" s="2" t="s">
        <v>82</v>
      </c>
      <c r="AN35" s="2" t="s">
        <v>75</v>
      </c>
      <c r="AO35" s="7">
        <v>7.0</v>
      </c>
      <c r="AP35" s="7">
        <v>8.0</v>
      </c>
      <c r="AQ35" s="7">
        <v>10.0</v>
      </c>
      <c r="AR35" s="7">
        <v>6.0</v>
      </c>
      <c r="AS35" s="7"/>
      <c r="AT35" s="8"/>
      <c r="AU35" s="8"/>
      <c r="AV35" s="8"/>
      <c r="AW35" s="8"/>
      <c r="AX35" s="8"/>
      <c r="AY35" s="8">
        <v>0.0</v>
      </c>
      <c r="AZ35" s="9">
        <f t="shared" si="2"/>
        <v>7.75</v>
      </c>
    </row>
    <row r="36">
      <c r="A36" s="4">
        <v>42653.49851255787</v>
      </c>
      <c r="B36" s="5">
        <v>35205.0</v>
      </c>
      <c r="C36" s="2" t="s">
        <v>161</v>
      </c>
      <c r="D36" s="2" t="s">
        <v>47</v>
      </c>
      <c r="E36" s="2" t="s">
        <v>48</v>
      </c>
      <c r="F36" s="2" t="s">
        <v>94</v>
      </c>
      <c r="G36" s="2"/>
      <c r="H36" s="2" t="s">
        <v>66</v>
      </c>
      <c r="I36" s="2" t="s">
        <v>246</v>
      </c>
      <c r="J36" s="2" t="s">
        <v>111</v>
      </c>
      <c r="K36" s="2" t="s">
        <v>53</v>
      </c>
      <c r="L36" s="2" t="s">
        <v>69</v>
      </c>
      <c r="M36" s="2" t="s">
        <v>55</v>
      </c>
      <c r="N36" s="2" t="s">
        <v>113</v>
      </c>
      <c r="O36" s="2" t="s">
        <v>247</v>
      </c>
      <c r="P36" s="4">
        <v>27757.498506944445</v>
      </c>
      <c r="Q36" s="5">
        <v>20309.498506944445</v>
      </c>
      <c r="R36" s="2" t="s">
        <v>73</v>
      </c>
      <c r="S36" s="2" t="s">
        <v>57</v>
      </c>
      <c r="T36" s="2" t="s">
        <v>58</v>
      </c>
      <c r="U36" s="2" t="s">
        <v>58</v>
      </c>
      <c r="V36" s="2"/>
      <c r="W36" s="2" t="s">
        <v>73</v>
      </c>
      <c r="X36" s="2" t="s">
        <v>170</v>
      </c>
      <c r="Y36" s="2" t="s">
        <v>61</v>
      </c>
      <c r="Z36" s="2" t="s">
        <v>60</v>
      </c>
      <c r="AA36" s="2" t="s">
        <v>62</v>
      </c>
      <c r="AB36" s="2" t="s">
        <v>63</v>
      </c>
      <c r="AC36" s="2" t="s">
        <v>74</v>
      </c>
      <c r="AD36" s="2" t="s">
        <v>75</v>
      </c>
      <c r="AE36" s="2" t="s">
        <v>248</v>
      </c>
      <c r="AF36" s="2" t="s">
        <v>63</v>
      </c>
      <c r="AG36" s="7">
        <v>16.0</v>
      </c>
      <c r="AH36" s="7">
        <v>8.8</v>
      </c>
      <c r="AI36" s="7">
        <v>8.6</v>
      </c>
      <c r="AJ36" s="2" t="s">
        <v>79</v>
      </c>
      <c r="AK36" s="7">
        <v>9.2</v>
      </c>
      <c r="AL36" s="2" t="s">
        <v>82</v>
      </c>
      <c r="AM36" s="2" t="s">
        <v>82</v>
      </c>
      <c r="AN36" s="2" t="s">
        <v>82</v>
      </c>
      <c r="AO36" s="7">
        <v>8.0</v>
      </c>
      <c r="AP36" s="7">
        <v>6.0</v>
      </c>
      <c r="AQ36" s="7">
        <v>8.0</v>
      </c>
      <c r="AR36" s="7">
        <v>6.0</v>
      </c>
      <c r="AS36" s="7"/>
      <c r="AT36" s="8"/>
      <c r="AU36" s="8"/>
      <c r="AV36" s="8"/>
      <c r="AW36" s="8"/>
      <c r="AX36" s="8"/>
      <c r="AY36" s="8">
        <v>1.0</v>
      </c>
      <c r="AZ36" s="9">
        <f t="shared" si="2"/>
        <v>7</v>
      </c>
    </row>
    <row r="37">
      <c r="A37" s="4">
        <v>42653.54096150463</v>
      </c>
      <c r="B37" s="5">
        <v>35142.0</v>
      </c>
      <c r="C37" s="2" t="s">
        <v>46</v>
      </c>
      <c r="D37" s="2" t="s">
        <v>47</v>
      </c>
      <c r="E37" s="2" t="s">
        <v>48</v>
      </c>
      <c r="F37" s="2" t="s">
        <v>249</v>
      </c>
      <c r="G37" s="2"/>
      <c r="H37" s="2" t="s">
        <v>120</v>
      </c>
      <c r="I37" s="2" t="s">
        <v>156</v>
      </c>
      <c r="J37" s="2" t="s">
        <v>68</v>
      </c>
      <c r="K37" s="2" t="s">
        <v>53</v>
      </c>
      <c r="L37" s="2" t="s">
        <v>95</v>
      </c>
      <c r="M37" s="2" t="s">
        <v>189</v>
      </c>
      <c r="N37" s="2" t="s">
        <v>96</v>
      </c>
      <c r="O37" s="2" t="s">
        <v>247</v>
      </c>
      <c r="P37" s="4">
        <v>27631.540960648148</v>
      </c>
      <c r="Q37" s="5">
        <v>20120.540960648148</v>
      </c>
      <c r="R37" s="2" t="s">
        <v>73</v>
      </c>
      <c r="S37" s="2" t="s">
        <v>57</v>
      </c>
      <c r="T37" s="2" t="s">
        <v>58</v>
      </c>
      <c r="U37" s="2" t="s">
        <v>58</v>
      </c>
      <c r="V37" s="2"/>
      <c r="W37" s="2" t="s">
        <v>59</v>
      </c>
      <c r="X37" s="2" t="s">
        <v>73</v>
      </c>
      <c r="Y37" s="2" t="s">
        <v>61</v>
      </c>
      <c r="Z37" s="2" t="s">
        <v>61</v>
      </c>
      <c r="AA37" s="2" t="s">
        <v>62</v>
      </c>
      <c r="AB37" s="2" t="s">
        <v>63</v>
      </c>
      <c r="AC37" s="2" t="s">
        <v>74</v>
      </c>
      <c r="AD37" s="2" t="s">
        <v>82</v>
      </c>
      <c r="AE37" s="2"/>
      <c r="AF37" s="2" t="s">
        <v>63</v>
      </c>
      <c r="AG37" s="7">
        <v>8.2</v>
      </c>
      <c r="AH37" s="2" t="s">
        <v>250</v>
      </c>
      <c r="AI37" s="2" t="s">
        <v>251</v>
      </c>
      <c r="AJ37" s="2" t="s">
        <v>124</v>
      </c>
      <c r="AK37" s="2" t="s">
        <v>252</v>
      </c>
      <c r="AL37" s="2" t="s">
        <v>75</v>
      </c>
      <c r="AM37" s="2" t="s">
        <v>82</v>
      </c>
      <c r="AN37" s="2" t="s">
        <v>75</v>
      </c>
      <c r="AO37" s="7">
        <v>5.0</v>
      </c>
      <c r="AP37" s="7">
        <v>5.0</v>
      </c>
      <c r="AQ37" s="7">
        <v>4.0</v>
      </c>
      <c r="AR37" s="7">
        <v>5.0</v>
      </c>
      <c r="AS37" s="7"/>
      <c r="AT37" s="8"/>
      <c r="AU37" s="8"/>
      <c r="AV37" s="8"/>
      <c r="AW37" s="8"/>
      <c r="AX37" s="8"/>
      <c r="AY37" s="8">
        <v>3.0</v>
      </c>
      <c r="AZ37" s="9">
        <f t="shared" si="2"/>
        <v>4.75</v>
      </c>
    </row>
    <row r="38">
      <c r="A38" s="4">
        <v>42653.541404421296</v>
      </c>
      <c r="B38" s="5">
        <v>35115.0</v>
      </c>
      <c r="C38" s="2" t="s">
        <v>46</v>
      </c>
      <c r="D38" s="2" t="s">
        <v>47</v>
      </c>
      <c r="E38" s="2" t="s">
        <v>48</v>
      </c>
      <c r="F38" s="2" t="s">
        <v>253</v>
      </c>
      <c r="G38" s="2"/>
      <c r="H38" s="2" t="s">
        <v>66</v>
      </c>
      <c r="I38" s="2" t="s">
        <v>142</v>
      </c>
      <c r="J38" s="2" t="s">
        <v>254</v>
      </c>
      <c r="K38" s="2" t="s">
        <v>53</v>
      </c>
      <c r="L38" s="2" t="s">
        <v>112</v>
      </c>
      <c r="M38" s="2" t="s">
        <v>55</v>
      </c>
      <c r="N38" s="2" t="s">
        <v>96</v>
      </c>
      <c r="O38" s="2" t="s">
        <v>97</v>
      </c>
      <c r="P38" s="4">
        <v>27577.541400462964</v>
      </c>
      <c r="Q38" s="5">
        <v>20039.541400462964</v>
      </c>
      <c r="R38" s="2" t="s">
        <v>73</v>
      </c>
      <c r="S38" s="2" t="s">
        <v>57</v>
      </c>
      <c r="T38" s="2" t="s">
        <v>58</v>
      </c>
      <c r="U38" s="2" t="s">
        <v>58</v>
      </c>
      <c r="V38" s="2"/>
      <c r="W38" s="2" t="s">
        <v>73</v>
      </c>
      <c r="X38" s="2" t="s">
        <v>57</v>
      </c>
      <c r="Y38" s="2" t="s">
        <v>60</v>
      </c>
      <c r="Z38" s="2" t="s">
        <v>61</v>
      </c>
      <c r="AA38" s="2" t="s">
        <v>62</v>
      </c>
      <c r="AB38" s="2" t="s">
        <v>74</v>
      </c>
      <c r="AC38" s="2" t="s">
        <v>74</v>
      </c>
      <c r="AD38" s="2" t="s">
        <v>82</v>
      </c>
      <c r="AE38" s="2" t="s">
        <v>255</v>
      </c>
      <c r="AF38" s="2" t="s">
        <v>63</v>
      </c>
      <c r="AG38" s="7">
        <v>8.0</v>
      </c>
      <c r="AH38" s="2" t="s">
        <v>132</v>
      </c>
      <c r="AI38" s="2" t="s">
        <v>147</v>
      </c>
      <c r="AJ38" s="2" t="s">
        <v>79</v>
      </c>
      <c r="AK38" s="2" t="s">
        <v>191</v>
      </c>
      <c r="AL38" s="2" t="s">
        <v>82</v>
      </c>
      <c r="AM38" s="2" t="s">
        <v>82</v>
      </c>
      <c r="AN38" s="2" t="s">
        <v>82</v>
      </c>
      <c r="AO38" s="7">
        <v>7.0</v>
      </c>
      <c r="AP38" s="7">
        <v>8.0</v>
      </c>
      <c r="AQ38" s="7">
        <v>8.0</v>
      </c>
      <c r="AR38" s="7">
        <v>8.0</v>
      </c>
      <c r="AS38" s="7"/>
      <c r="AT38" s="8"/>
      <c r="AU38" s="8"/>
      <c r="AV38" s="8"/>
      <c r="AW38" s="8"/>
      <c r="AX38" s="8"/>
      <c r="AY38" s="8">
        <v>0.0</v>
      </c>
      <c r="AZ38" s="9">
        <f t="shared" si="2"/>
        <v>7.75</v>
      </c>
    </row>
    <row r="39">
      <c r="A39" s="4">
        <v>42653.541883125</v>
      </c>
      <c r="B39" s="5">
        <v>35229.0</v>
      </c>
      <c r="C39" s="2" t="s">
        <v>46</v>
      </c>
      <c r="D39" s="2" t="s">
        <v>47</v>
      </c>
      <c r="E39" s="2" t="s">
        <v>256</v>
      </c>
      <c r="F39" s="2" t="s">
        <v>150</v>
      </c>
      <c r="G39" s="2"/>
      <c r="H39" s="2" t="s">
        <v>66</v>
      </c>
      <c r="I39" s="2" t="s">
        <v>51</v>
      </c>
      <c r="J39" s="2" t="s">
        <v>234</v>
      </c>
      <c r="K39" s="2" t="s">
        <v>143</v>
      </c>
      <c r="L39" s="2" t="s">
        <v>69</v>
      </c>
      <c r="M39" s="2" t="s">
        <v>55</v>
      </c>
      <c r="N39" s="2" t="s">
        <v>96</v>
      </c>
      <c r="O39" s="2" t="s">
        <v>97</v>
      </c>
      <c r="P39" s="4">
        <v>27805.541886574076</v>
      </c>
      <c r="Q39" s="5">
        <v>20381.541886574076</v>
      </c>
      <c r="R39" s="2" t="s">
        <v>100</v>
      </c>
      <c r="S39" s="2" t="s">
        <v>100</v>
      </c>
      <c r="T39" s="2" t="s">
        <v>58</v>
      </c>
      <c r="U39" s="2" t="s">
        <v>58</v>
      </c>
      <c r="V39" s="2"/>
      <c r="W39" s="2" t="s">
        <v>73</v>
      </c>
      <c r="X39" s="2" t="s">
        <v>170</v>
      </c>
      <c r="Y39" s="2" t="s">
        <v>61</v>
      </c>
      <c r="Z39" s="2" t="s">
        <v>61</v>
      </c>
      <c r="AA39" s="2" t="s">
        <v>62</v>
      </c>
      <c r="AB39" s="2" t="s">
        <v>63</v>
      </c>
      <c r="AC39" s="2" t="s">
        <v>74</v>
      </c>
      <c r="AD39" s="2" t="s">
        <v>82</v>
      </c>
      <c r="AE39" s="2" t="s">
        <v>257</v>
      </c>
      <c r="AF39" s="2" t="s">
        <v>63</v>
      </c>
      <c r="AG39" s="7">
        <v>16.0</v>
      </c>
      <c r="AH39" s="2" t="s">
        <v>240</v>
      </c>
      <c r="AI39" s="2" t="s">
        <v>258</v>
      </c>
      <c r="AJ39" s="2" t="s">
        <v>79</v>
      </c>
      <c r="AK39" s="7">
        <v>8.0</v>
      </c>
      <c r="AL39" s="2" t="s">
        <v>82</v>
      </c>
      <c r="AM39" s="2" t="s">
        <v>81</v>
      </c>
      <c r="AN39" s="2" t="s">
        <v>82</v>
      </c>
      <c r="AO39" s="7">
        <v>6.0</v>
      </c>
      <c r="AP39" s="7">
        <v>6.0</v>
      </c>
      <c r="AQ39" s="7">
        <v>5.0</v>
      </c>
      <c r="AR39" s="7">
        <v>6.0</v>
      </c>
      <c r="AS39" s="7"/>
      <c r="AT39" s="8"/>
      <c r="AU39" s="8"/>
      <c r="AV39" s="8"/>
      <c r="AW39" s="8"/>
      <c r="AX39" s="8"/>
      <c r="AY39" s="8">
        <v>0.0</v>
      </c>
      <c r="AZ39" s="9">
        <f t="shared" si="2"/>
        <v>5.75</v>
      </c>
    </row>
    <row r="40">
      <c r="A40" s="4">
        <v>42653.54200540509</v>
      </c>
      <c r="B40" s="5">
        <v>35333.0</v>
      </c>
      <c r="C40" s="2" t="s">
        <v>46</v>
      </c>
      <c r="D40" s="2" t="s">
        <v>47</v>
      </c>
      <c r="E40" s="2" t="s">
        <v>149</v>
      </c>
      <c r="F40" s="2" t="s">
        <v>259</v>
      </c>
      <c r="G40" s="2"/>
      <c r="H40" s="2" t="s">
        <v>66</v>
      </c>
      <c r="I40" s="2" t="s">
        <v>51</v>
      </c>
      <c r="J40" s="2" t="s">
        <v>68</v>
      </c>
      <c r="K40" s="2" t="s">
        <v>53</v>
      </c>
      <c r="L40" s="2" t="s">
        <v>95</v>
      </c>
      <c r="M40" s="2" t="s">
        <v>85</v>
      </c>
      <c r="N40" s="2" t="s">
        <v>113</v>
      </c>
      <c r="O40" s="2" t="s">
        <v>72</v>
      </c>
      <c r="P40" s="4">
        <v>28013.542002314814</v>
      </c>
      <c r="Q40" s="5">
        <v>20693.542002314814</v>
      </c>
      <c r="R40" s="2" t="s">
        <v>57</v>
      </c>
      <c r="S40" s="2" t="s">
        <v>57</v>
      </c>
      <c r="T40" s="2" t="s">
        <v>58</v>
      </c>
      <c r="U40" s="2" t="s">
        <v>58</v>
      </c>
      <c r="V40" s="2"/>
      <c r="W40" s="2" t="s">
        <v>73</v>
      </c>
      <c r="X40" s="2" t="s">
        <v>57</v>
      </c>
      <c r="Y40" s="2" t="s">
        <v>61</v>
      </c>
      <c r="Z40" s="2" t="s">
        <v>61</v>
      </c>
      <c r="AA40" s="2" t="s">
        <v>62</v>
      </c>
      <c r="AB40" s="2" t="s">
        <v>74</v>
      </c>
      <c r="AC40" s="2" t="s">
        <v>74</v>
      </c>
      <c r="AD40" s="2" t="s">
        <v>82</v>
      </c>
      <c r="AE40" s="2" t="s">
        <v>260</v>
      </c>
      <c r="AF40" s="2" t="s">
        <v>63</v>
      </c>
      <c r="AG40" s="2" t="s">
        <v>80</v>
      </c>
      <c r="AH40" s="2" t="s">
        <v>261</v>
      </c>
      <c r="AI40" s="2" t="s">
        <v>80</v>
      </c>
      <c r="AJ40" s="2" t="s">
        <v>79</v>
      </c>
      <c r="AK40" s="2" t="s">
        <v>262</v>
      </c>
      <c r="AL40" s="2" t="s">
        <v>75</v>
      </c>
      <c r="AM40" s="2" t="s">
        <v>82</v>
      </c>
      <c r="AN40" s="2" t="s">
        <v>75</v>
      </c>
      <c r="AO40" s="7">
        <v>5.0</v>
      </c>
      <c r="AP40" s="7">
        <v>8.0</v>
      </c>
      <c r="AQ40" s="7">
        <v>7.0</v>
      </c>
      <c r="AR40" s="7">
        <v>6.0</v>
      </c>
      <c r="AS40" s="7"/>
      <c r="AT40" s="8"/>
      <c r="AU40" s="8"/>
      <c r="AV40" s="8"/>
      <c r="AW40" s="8"/>
      <c r="AX40" s="8"/>
      <c r="AY40" s="8">
        <v>4.0</v>
      </c>
      <c r="AZ40" s="9">
        <f t="shared" si="2"/>
        <v>6.5</v>
      </c>
    </row>
    <row r="41">
      <c r="A41" s="4">
        <v>42653.542152939815</v>
      </c>
      <c r="B41" s="5">
        <v>35419.0</v>
      </c>
      <c r="C41" s="2" t="s">
        <v>46</v>
      </c>
      <c r="D41" s="2" t="s">
        <v>47</v>
      </c>
      <c r="E41" s="2" t="s">
        <v>263</v>
      </c>
      <c r="F41" s="2" t="s">
        <v>264</v>
      </c>
      <c r="G41" s="2"/>
      <c r="H41" s="2" t="s">
        <v>265</v>
      </c>
      <c r="I41" s="2" t="s">
        <v>51</v>
      </c>
      <c r="J41" s="2" t="s">
        <v>68</v>
      </c>
      <c r="K41" s="2" t="s">
        <v>53</v>
      </c>
      <c r="L41" s="2" t="s">
        <v>95</v>
      </c>
      <c r="M41" s="2" t="s">
        <v>55</v>
      </c>
      <c r="N41" s="2" t="s">
        <v>96</v>
      </c>
      <c r="O41" s="2" t="s">
        <v>97</v>
      </c>
      <c r="P41" s="4">
        <v>28185.542152777776</v>
      </c>
      <c r="Q41" s="5">
        <v>20951.542152777776</v>
      </c>
      <c r="R41" s="2" t="s">
        <v>73</v>
      </c>
      <c r="S41" s="2" t="s">
        <v>100</v>
      </c>
      <c r="T41" s="2" t="s">
        <v>58</v>
      </c>
      <c r="U41" s="2" t="s">
        <v>58</v>
      </c>
      <c r="V41" s="2" t="s">
        <v>266</v>
      </c>
      <c r="W41" s="2" t="s">
        <v>73</v>
      </c>
      <c r="X41" s="2" t="s">
        <v>170</v>
      </c>
      <c r="Y41" s="2" t="s">
        <v>61</v>
      </c>
      <c r="Z41" s="2" t="s">
        <v>61</v>
      </c>
      <c r="AA41" s="2" t="s">
        <v>62</v>
      </c>
      <c r="AB41" s="2" t="s">
        <v>74</v>
      </c>
      <c r="AC41" s="2"/>
      <c r="AD41" s="2" t="s">
        <v>82</v>
      </c>
      <c r="AE41" s="2" t="s">
        <v>267</v>
      </c>
      <c r="AF41" s="2" t="s">
        <v>63</v>
      </c>
      <c r="AG41" s="2" t="s">
        <v>191</v>
      </c>
      <c r="AH41" s="2" t="s">
        <v>268</v>
      </c>
      <c r="AI41" s="2" t="s">
        <v>269</v>
      </c>
      <c r="AJ41" s="2" t="s">
        <v>124</v>
      </c>
      <c r="AK41" s="2" t="s">
        <v>270</v>
      </c>
      <c r="AL41" s="2" t="s">
        <v>75</v>
      </c>
      <c r="AM41" s="2" t="s">
        <v>75</v>
      </c>
      <c r="AN41" s="2" t="s">
        <v>82</v>
      </c>
      <c r="AO41" s="7">
        <v>8.0</v>
      </c>
      <c r="AP41" s="7">
        <v>8.0</v>
      </c>
      <c r="AQ41" s="7">
        <v>9.0</v>
      </c>
      <c r="AR41" s="7">
        <v>8.0</v>
      </c>
      <c r="AS41" s="7"/>
      <c r="AT41" s="8"/>
      <c r="AU41" s="8"/>
      <c r="AV41" s="8"/>
      <c r="AW41" s="8"/>
      <c r="AX41" s="8"/>
      <c r="AY41" s="8">
        <v>0.0</v>
      </c>
      <c r="AZ41" s="9">
        <f t="shared" si="2"/>
        <v>8.25</v>
      </c>
    </row>
    <row r="42">
      <c r="A42" s="4">
        <v>42653.54216894676</v>
      </c>
      <c r="B42" s="5">
        <v>35467.0</v>
      </c>
      <c r="C42" s="2" t="s">
        <v>46</v>
      </c>
      <c r="D42" s="2" t="s">
        <v>47</v>
      </c>
      <c r="E42" s="2" t="s">
        <v>118</v>
      </c>
      <c r="F42" s="2" t="s">
        <v>271</v>
      </c>
      <c r="G42" s="2"/>
      <c r="H42" s="2" t="s">
        <v>66</v>
      </c>
      <c r="I42" s="2" t="s">
        <v>51</v>
      </c>
      <c r="J42" s="2" t="s">
        <v>111</v>
      </c>
      <c r="K42" s="2" t="s">
        <v>53</v>
      </c>
      <c r="L42" s="2" t="s">
        <v>112</v>
      </c>
      <c r="M42" s="2" t="s">
        <v>55</v>
      </c>
      <c r="N42" s="2" t="s">
        <v>96</v>
      </c>
      <c r="O42" s="2" t="s">
        <v>97</v>
      </c>
      <c r="P42" s="4">
        <v>28281.542164351853</v>
      </c>
      <c r="Q42" s="5">
        <v>21095.542164351853</v>
      </c>
      <c r="R42" s="2" t="s">
        <v>58</v>
      </c>
      <c r="S42" s="2" t="s">
        <v>73</v>
      </c>
      <c r="T42" s="2" t="s">
        <v>58</v>
      </c>
      <c r="U42" s="2" t="s">
        <v>58</v>
      </c>
      <c r="V42" s="2"/>
      <c r="W42" s="2" t="s">
        <v>59</v>
      </c>
      <c r="X42" s="2" t="s">
        <v>57</v>
      </c>
      <c r="Y42" s="2" t="s">
        <v>61</v>
      </c>
      <c r="Z42" s="2" t="s">
        <v>61</v>
      </c>
      <c r="AA42" s="2" t="s">
        <v>62</v>
      </c>
      <c r="AB42" s="2" t="s">
        <v>63</v>
      </c>
      <c r="AC42" s="2" t="s">
        <v>74</v>
      </c>
      <c r="AD42" s="2" t="s">
        <v>75</v>
      </c>
      <c r="AE42" s="2" t="s">
        <v>272</v>
      </c>
      <c r="AF42" s="2" t="s">
        <v>63</v>
      </c>
      <c r="AG42" s="2" t="s">
        <v>186</v>
      </c>
      <c r="AH42" s="2" t="s">
        <v>165</v>
      </c>
      <c r="AI42" s="2" t="s">
        <v>222</v>
      </c>
      <c r="AJ42" s="2" t="s">
        <v>79</v>
      </c>
      <c r="AK42" s="2" t="s">
        <v>132</v>
      </c>
      <c r="AL42" s="2" t="s">
        <v>82</v>
      </c>
      <c r="AM42" s="2" t="s">
        <v>75</v>
      </c>
      <c r="AN42" s="2" t="s">
        <v>82</v>
      </c>
      <c r="AO42" s="7">
        <v>5.0</v>
      </c>
      <c r="AP42" s="7">
        <v>6.0</v>
      </c>
      <c r="AQ42" s="7">
        <v>8.0</v>
      </c>
      <c r="AR42" s="7">
        <v>7.0</v>
      </c>
      <c r="AS42" s="7"/>
      <c r="AT42" s="8"/>
      <c r="AU42" s="8"/>
      <c r="AV42" s="8"/>
      <c r="AW42" s="8"/>
      <c r="AX42" s="8"/>
      <c r="AY42" s="8">
        <v>0.0</v>
      </c>
      <c r="AZ42" s="9">
        <f t="shared" si="2"/>
        <v>6.5</v>
      </c>
    </row>
    <row r="43">
      <c r="A43" s="4">
        <v>42653.54269482639</v>
      </c>
      <c r="B43" s="5">
        <v>35418.0</v>
      </c>
      <c r="C43" s="2" t="s">
        <v>46</v>
      </c>
      <c r="D43" s="2" t="s">
        <v>47</v>
      </c>
      <c r="E43" s="2" t="s">
        <v>106</v>
      </c>
      <c r="F43" s="2" t="s">
        <v>273</v>
      </c>
      <c r="G43" s="2"/>
      <c r="H43" s="2" t="s">
        <v>66</v>
      </c>
      <c r="I43" s="2" t="s">
        <v>142</v>
      </c>
      <c r="J43" s="2" t="s">
        <v>68</v>
      </c>
      <c r="K43" s="2" t="s">
        <v>53</v>
      </c>
      <c r="L43" s="2" t="s">
        <v>84</v>
      </c>
      <c r="M43" s="2" t="s">
        <v>55</v>
      </c>
      <c r="N43" s="2" t="s">
        <v>113</v>
      </c>
      <c r="O43" s="2" t="s">
        <v>97</v>
      </c>
      <c r="P43" s="4">
        <v>28183.542696759258</v>
      </c>
      <c r="Q43" s="5">
        <v>20948.542696759258</v>
      </c>
      <c r="R43" s="2" t="s">
        <v>100</v>
      </c>
      <c r="S43" s="2" t="s">
        <v>73</v>
      </c>
      <c r="T43" s="2" t="s">
        <v>58</v>
      </c>
      <c r="U43" s="2" t="s">
        <v>58</v>
      </c>
      <c r="V43" s="2" t="s">
        <v>274</v>
      </c>
      <c r="W43" s="2" t="s">
        <v>73</v>
      </c>
      <c r="X43" s="2" t="s">
        <v>73</v>
      </c>
      <c r="Y43" s="2" t="s">
        <v>61</v>
      </c>
      <c r="Z43" s="2" t="s">
        <v>61</v>
      </c>
      <c r="AA43" s="2" t="s">
        <v>62</v>
      </c>
      <c r="AB43" s="2" t="s">
        <v>63</v>
      </c>
      <c r="AC43" s="2" t="s">
        <v>74</v>
      </c>
      <c r="AD43" s="2" t="s">
        <v>82</v>
      </c>
      <c r="AE43" s="2"/>
      <c r="AF43" s="2" t="s">
        <v>63</v>
      </c>
      <c r="AG43" s="7">
        <v>8.0</v>
      </c>
      <c r="AH43" s="7">
        <v>9.05</v>
      </c>
      <c r="AI43" s="7">
        <v>9.25</v>
      </c>
      <c r="AJ43" s="2" t="s">
        <v>79</v>
      </c>
      <c r="AK43" s="7">
        <v>9.2</v>
      </c>
      <c r="AL43" s="2" t="s">
        <v>82</v>
      </c>
      <c r="AM43" s="2" t="s">
        <v>75</v>
      </c>
      <c r="AN43" s="2" t="s">
        <v>82</v>
      </c>
      <c r="AO43" s="7">
        <v>7.0</v>
      </c>
      <c r="AP43" s="7">
        <v>6.0</v>
      </c>
      <c r="AQ43" s="7">
        <v>8.0</v>
      </c>
      <c r="AR43" s="7">
        <v>8.0</v>
      </c>
      <c r="AS43" s="7"/>
      <c r="AT43" s="8"/>
      <c r="AU43" s="8"/>
      <c r="AV43" s="8"/>
      <c r="AW43" s="8"/>
      <c r="AX43" s="8"/>
      <c r="AY43" s="8">
        <v>0.0</v>
      </c>
      <c r="AZ43" s="9">
        <f t="shared" si="2"/>
        <v>7.25</v>
      </c>
    </row>
    <row r="44">
      <c r="A44" s="4">
        <v>42653.54295732639</v>
      </c>
      <c r="B44" s="5">
        <v>35279.0</v>
      </c>
      <c r="C44" s="2" t="s">
        <v>46</v>
      </c>
      <c r="D44" s="2" t="s">
        <v>47</v>
      </c>
      <c r="E44" s="2" t="s">
        <v>118</v>
      </c>
      <c r="F44" s="2" t="s">
        <v>275</v>
      </c>
      <c r="G44" s="2"/>
      <c r="H44" s="2" t="s">
        <v>66</v>
      </c>
      <c r="I44" s="2" t="s">
        <v>51</v>
      </c>
      <c r="J44" s="2" t="s">
        <v>68</v>
      </c>
      <c r="K44" s="2" t="s">
        <v>53</v>
      </c>
      <c r="L44" s="2" t="s">
        <v>69</v>
      </c>
      <c r="M44" s="2" t="s">
        <v>189</v>
      </c>
      <c r="N44" s="2" t="s">
        <v>96</v>
      </c>
      <c r="O44" s="2" t="s">
        <v>97</v>
      </c>
      <c r="P44" s="4">
        <v>27905.54296296296</v>
      </c>
      <c r="Q44" s="5">
        <v>20531.54296296296</v>
      </c>
      <c r="R44" s="2" t="s">
        <v>73</v>
      </c>
      <c r="S44" s="2" t="s">
        <v>73</v>
      </c>
      <c r="T44" s="2" t="s">
        <v>58</v>
      </c>
      <c r="U44" s="2" t="s">
        <v>58</v>
      </c>
      <c r="V44" s="2" t="s">
        <v>276</v>
      </c>
      <c r="W44" s="2" t="s">
        <v>59</v>
      </c>
      <c r="X44" s="2" t="s">
        <v>57</v>
      </c>
      <c r="Y44" s="2" t="s">
        <v>61</v>
      </c>
      <c r="Z44" s="2" t="s">
        <v>61</v>
      </c>
      <c r="AA44" s="2" t="s">
        <v>62</v>
      </c>
      <c r="AB44" s="2" t="s">
        <v>63</v>
      </c>
      <c r="AC44" s="2" t="s">
        <v>74</v>
      </c>
      <c r="AD44" s="2" t="s">
        <v>82</v>
      </c>
      <c r="AE44" s="2" t="s">
        <v>277</v>
      </c>
      <c r="AF44" s="2" t="s">
        <v>63</v>
      </c>
      <c r="AG44" s="7">
        <v>8.0</v>
      </c>
      <c r="AH44" s="7">
        <v>7.52</v>
      </c>
      <c r="AI44" s="2" t="s">
        <v>278</v>
      </c>
      <c r="AJ44" s="2" t="s">
        <v>79</v>
      </c>
      <c r="AK44" s="2" t="s">
        <v>279</v>
      </c>
      <c r="AL44" s="2" t="s">
        <v>82</v>
      </c>
      <c r="AM44" s="2" t="s">
        <v>75</v>
      </c>
      <c r="AN44" s="2" t="s">
        <v>82</v>
      </c>
      <c r="AO44" s="7">
        <v>6.0</v>
      </c>
      <c r="AP44" s="7">
        <v>6.0</v>
      </c>
      <c r="AQ44" s="7">
        <v>8.0</v>
      </c>
      <c r="AR44" s="7">
        <v>7.0</v>
      </c>
      <c r="AS44" s="7"/>
      <c r="AT44" s="8"/>
      <c r="AU44" s="8"/>
      <c r="AV44" s="8"/>
      <c r="AW44" s="8"/>
      <c r="AX44" s="8"/>
      <c r="AY44" s="8">
        <v>2.0</v>
      </c>
      <c r="AZ44" s="9">
        <f t="shared" si="2"/>
        <v>6.75</v>
      </c>
    </row>
    <row r="45">
      <c r="A45" s="4">
        <v>42653.54324533565</v>
      </c>
      <c r="B45" s="5">
        <v>35352.0</v>
      </c>
      <c r="C45" s="2" t="s">
        <v>46</v>
      </c>
      <c r="D45" s="2" t="s">
        <v>47</v>
      </c>
      <c r="E45" s="2" t="s">
        <v>106</v>
      </c>
      <c r="F45" s="2" t="s">
        <v>280</v>
      </c>
      <c r="G45" s="2"/>
      <c r="H45" s="2" t="s">
        <v>281</v>
      </c>
      <c r="I45" s="2" t="s">
        <v>282</v>
      </c>
      <c r="J45" s="2" t="s">
        <v>68</v>
      </c>
      <c r="K45" s="2" t="s">
        <v>53</v>
      </c>
      <c r="L45" s="2" t="s">
        <v>84</v>
      </c>
      <c r="M45" s="2" t="s">
        <v>85</v>
      </c>
      <c r="N45" s="2" t="s">
        <v>113</v>
      </c>
      <c r="O45" s="2" t="s">
        <v>72</v>
      </c>
      <c r="P45" s="4">
        <v>28051.543240740742</v>
      </c>
      <c r="Q45" s="5">
        <v>20750.543240740742</v>
      </c>
      <c r="R45" s="2" t="s">
        <v>100</v>
      </c>
      <c r="S45" s="2" t="s">
        <v>73</v>
      </c>
      <c r="T45" s="2" t="s">
        <v>58</v>
      </c>
      <c r="U45" s="2" t="s">
        <v>58</v>
      </c>
      <c r="V45" s="2" t="s">
        <v>283</v>
      </c>
      <c r="W45" s="2" t="s">
        <v>57</v>
      </c>
      <c r="X45" s="2" t="s">
        <v>170</v>
      </c>
      <c r="Y45" s="2" t="s">
        <v>61</v>
      </c>
      <c r="Z45" s="2" t="s">
        <v>61</v>
      </c>
      <c r="AA45" s="2" t="s">
        <v>62</v>
      </c>
      <c r="AB45" s="2" t="s">
        <v>74</v>
      </c>
      <c r="AC45" s="2" t="s">
        <v>74</v>
      </c>
      <c r="AD45" s="2" t="s">
        <v>82</v>
      </c>
      <c r="AE45" s="2" t="s">
        <v>284</v>
      </c>
      <c r="AF45" s="2" t="s">
        <v>63</v>
      </c>
      <c r="AG45" s="7">
        <v>15.0</v>
      </c>
      <c r="AH45" s="7">
        <v>7.5</v>
      </c>
      <c r="AI45" s="7">
        <v>8.1</v>
      </c>
      <c r="AJ45" s="2" t="s">
        <v>124</v>
      </c>
      <c r="AK45" s="7">
        <v>7.5</v>
      </c>
      <c r="AL45" s="2" t="s">
        <v>81</v>
      </c>
      <c r="AM45" s="2" t="s">
        <v>82</v>
      </c>
      <c r="AN45" s="2" t="s">
        <v>75</v>
      </c>
      <c r="AO45" s="2"/>
      <c r="AP45" s="2"/>
      <c r="AQ45" s="2"/>
      <c r="AR45" s="2"/>
      <c r="AS45" s="7"/>
      <c r="AT45" s="8"/>
      <c r="AU45" s="8"/>
      <c r="AV45" s="8"/>
      <c r="AW45" s="8"/>
      <c r="AX45" s="8"/>
      <c r="AY45" s="8">
        <v>5.0</v>
      </c>
      <c r="AZ45" s="9"/>
    </row>
    <row r="46">
      <c r="A46" s="4">
        <v>42653.54546903935</v>
      </c>
      <c r="B46" s="5">
        <v>35683.0</v>
      </c>
      <c r="C46" s="2" t="s">
        <v>46</v>
      </c>
      <c r="D46" s="2" t="s">
        <v>47</v>
      </c>
      <c r="E46" s="2" t="s">
        <v>48</v>
      </c>
      <c r="F46" s="2" t="s">
        <v>94</v>
      </c>
      <c r="G46" s="2"/>
      <c r="H46" s="2" t="s">
        <v>66</v>
      </c>
      <c r="I46" s="2" t="s">
        <v>285</v>
      </c>
      <c r="J46" s="2" t="s">
        <v>68</v>
      </c>
      <c r="K46" s="2" t="s">
        <v>143</v>
      </c>
      <c r="L46" s="2" t="s">
        <v>69</v>
      </c>
      <c r="M46" s="2" t="s">
        <v>55</v>
      </c>
      <c r="N46" s="2" t="s">
        <v>113</v>
      </c>
      <c r="O46" s="2" t="s">
        <v>72</v>
      </c>
      <c r="P46" s="4">
        <v>28712.545474537037</v>
      </c>
      <c r="Q46" s="5">
        <v>21741.545474537037</v>
      </c>
      <c r="R46" s="2" t="s">
        <v>57</v>
      </c>
      <c r="S46" s="2" t="s">
        <v>98</v>
      </c>
      <c r="T46" s="2" t="s">
        <v>58</v>
      </c>
      <c r="U46" s="2" t="s">
        <v>58</v>
      </c>
      <c r="V46" s="2" t="s">
        <v>286</v>
      </c>
      <c r="W46" s="2" t="s">
        <v>59</v>
      </c>
      <c r="X46" s="2" t="s">
        <v>73</v>
      </c>
      <c r="Y46" s="2" t="s">
        <v>61</v>
      </c>
      <c r="Z46" s="2" t="s">
        <v>61</v>
      </c>
      <c r="AA46" s="2" t="s">
        <v>62</v>
      </c>
      <c r="AB46" s="2" t="s">
        <v>63</v>
      </c>
      <c r="AC46" s="2" t="s">
        <v>63</v>
      </c>
      <c r="AD46" s="2" t="s">
        <v>81</v>
      </c>
      <c r="AE46" s="2" t="s">
        <v>287</v>
      </c>
      <c r="AF46" s="2" t="s">
        <v>63</v>
      </c>
      <c r="AG46" s="2" t="s">
        <v>110</v>
      </c>
      <c r="AH46" s="2" t="s">
        <v>103</v>
      </c>
      <c r="AI46" s="2" t="s">
        <v>203</v>
      </c>
      <c r="AJ46" s="2" t="s">
        <v>79</v>
      </c>
      <c r="AK46" s="7">
        <v>9.0</v>
      </c>
      <c r="AL46" s="2" t="s">
        <v>75</v>
      </c>
      <c r="AM46" s="2" t="s">
        <v>93</v>
      </c>
      <c r="AN46" s="2" t="s">
        <v>75</v>
      </c>
      <c r="AO46" s="7">
        <v>6.0</v>
      </c>
      <c r="AP46" s="7">
        <v>8.0</v>
      </c>
      <c r="AQ46" s="7">
        <v>5.0</v>
      </c>
      <c r="AR46" s="7">
        <v>5.0</v>
      </c>
      <c r="AS46" s="7"/>
      <c r="AT46" s="8"/>
      <c r="AU46" s="8"/>
      <c r="AV46" s="8"/>
      <c r="AW46" s="8"/>
      <c r="AX46" s="8"/>
      <c r="AY46" s="8">
        <v>0.0</v>
      </c>
      <c r="AZ46" s="9">
        <f t="shared" ref="AZ46:AZ60" si="3">AVERAGE(AO46:AR46)</f>
        <v>6</v>
      </c>
    </row>
    <row r="47">
      <c r="A47" s="4">
        <v>42653.54682935185</v>
      </c>
      <c r="B47" s="5">
        <v>35015.0</v>
      </c>
      <c r="C47" s="2" t="s">
        <v>46</v>
      </c>
      <c r="D47" s="2" t="s">
        <v>47</v>
      </c>
      <c r="E47" s="2" t="s">
        <v>48</v>
      </c>
      <c r="F47" s="2" t="s">
        <v>127</v>
      </c>
      <c r="G47" s="2"/>
      <c r="H47" s="2" t="s">
        <v>66</v>
      </c>
      <c r="I47" s="2" t="s">
        <v>51</v>
      </c>
      <c r="J47" s="2" t="s">
        <v>234</v>
      </c>
      <c r="K47" s="2" t="s">
        <v>143</v>
      </c>
      <c r="L47" s="2" t="s">
        <v>144</v>
      </c>
      <c r="M47" s="2" t="s">
        <v>85</v>
      </c>
      <c r="N47" s="2" t="s">
        <v>86</v>
      </c>
      <c r="O47" s="2" t="s">
        <v>72</v>
      </c>
      <c r="P47" s="4">
        <v>27377.546828703704</v>
      </c>
      <c r="Q47" s="5">
        <v>19739.546828703704</v>
      </c>
      <c r="R47" s="2" t="s">
        <v>100</v>
      </c>
      <c r="S47" s="2" t="s">
        <v>100</v>
      </c>
      <c r="T47" s="2" t="s">
        <v>58</v>
      </c>
      <c r="U47" s="2" t="s">
        <v>58</v>
      </c>
      <c r="V47" s="2" t="s">
        <v>288</v>
      </c>
      <c r="W47" s="2" t="s">
        <v>59</v>
      </c>
      <c r="X47" s="2" t="s">
        <v>170</v>
      </c>
      <c r="Y47" s="2" t="s">
        <v>61</v>
      </c>
      <c r="Z47" s="2" t="s">
        <v>61</v>
      </c>
      <c r="AA47" s="2" t="s">
        <v>62</v>
      </c>
      <c r="AB47" s="2" t="s">
        <v>63</v>
      </c>
      <c r="AC47" s="2"/>
      <c r="AD47" s="2" t="s">
        <v>82</v>
      </c>
      <c r="AE47" s="2"/>
      <c r="AF47" s="2" t="s">
        <v>63</v>
      </c>
      <c r="AG47" s="7">
        <v>10.0</v>
      </c>
      <c r="AH47" s="2" t="s">
        <v>289</v>
      </c>
      <c r="AI47" s="2" t="s">
        <v>290</v>
      </c>
      <c r="AJ47" s="2" t="s">
        <v>79</v>
      </c>
      <c r="AK47" s="2" t="s">
        <v>154</v>
      </c>
      <c r="AL47" s="2" t="s">
        <v>82</v>
      </c>
      <c r="AM47" s="2" t="s">
        <v>75</v>
      </c>
      <c r="AN47" s="2" t="s">
        <v>82</v>
      </c>
      <c r="AO47" s="7">
        <v>10.0</v>
      </c>
      <c r="AP47" s="7">
        <v>10.0</v>
      </c>
      <c r="AQ47" s="7">
        <v>10.0</v>
      </c>
      <c r="AR47" s="7">
        <v>9.0</v>
      </c>
      <c r="AS47" s="7"/>
      <c r="AT47" s="8"/>
      <c r="AU47" s="8"/>
      <c r="AV47" s="8"/>
      <c r="AW47" s="8"/>
      <c r="AX47" s="8"/>
      <c r="AY47" s="8">
        <v>0.0</v>
      </c>
      <c r="AZ47" s="9">
        <f t="shared" si="3"/>
        <v>9.75</v>
      </c>
    </row>
    <row r="48">
      <c r="A48" s="4">
        <v>42653.547840150466</v>
      </c>
      <c r="B48" s="5">
        <v>35365.0</v>
      </c>
      <c r="C48" s="2" t="s">
        <v>46</v>
      </c>
      <c r="D48" s="2" t="s">
        <v>47</v>
      </c>
      <c r="E48" s="2" t="s">
        <v>291</v>
      </c>
      <c r="F48" s="2" t="s">
        <v>292</v>
      </c>
      <c r="G48" s="2"/>
      <c r="H48" s="2" t="s">
        <v>66</v>
      </c>
      <c r="I48" s="2" t="s">
        <v>156</v>
      </c>
      <c r="J48" s="2" t="s">
        <v>68</v>
      </c>
      <c r="K48" s="2" t="s">
        <v>53</v>
      </c>
      <c r="L48" s="2" t="s">
        <v>84</v>
      </c>
      <c r="M48" s="2" t="s">
        <v>293</v>
      </c>
      <c r="N48" s="2" t="s">
        <v>113</v>
      </c>
      <c r="O48" s="2" t="s">
        <v>97</v>
      </c>
      <c r="P48" s="4">
        <v>28077.547835648147</v>
      </c>
      <c r="Q48" s="5">
        <v>20789.547835648147</v>
      </c>
      <c r="R48" s="2" t="s">
        <v>73</v>
      </c>
      <c r="S48" s="2" t="s">
        <v>57</v>
      </c>
      <c r="T48" s="2" t="s">
        <v>58</v>
      </c>
      <c r="U48" s="2" t="s">
        <v>58</v>
      </c>
      <c r="V48" s="2"/>
      <c r="W48" s="2" t="s">
        <v>73</v>
      </c>
      <c r="X48" s="2" t="s">
        <v>170</v>
      </c>
      <c r="Y48" s="2" t="s">
        <v>61</v>
      </c>
      <c r="Z48" s="2" t="s">
        <v>61</v>
      </c>
      <c r="AA48" s="2" t="s">
        <v>62</v>
      </c>
      <c r="AB48" s="2" t="s">
        <v>63</v>
      </c>
      <c r="AC48" s="2" t="s">
        <v>63</v>
      </c>
      <c r="AD48" s="2" t="s">
        <v>82</v>
      </c>
      <c r="AE48" s="2" t="s">
        <v>294</v>
      </c>
      <c r="AF48" s="2" t="s">
        <v>63</v>
      </c>
      <c r="AG48" s="7">
        <v>7.0</v>
      </c>
      <c r="AH48" s="2" t="s">
        <v>295</v>
      </c>
      <c r="AI48" s="7">
        <v>7.0</v>
      </c>
      <c r="AJ48" s="2" t="s">
        <v>79</v>
      </c>
      <c r="AK48" s="7">
        <v>7.0</v>
      </c>
      <c r="AL48" s="2" t="s">
        <v>75</v>
      </c>
      <c r="AM48" s="2" t="s">
        <v>82</v>
      </c>
      <c r="AN48" s="2" t="s">
        <v>82</v>
      </c>
      <c r="AO48" s="7">
        <v>6.0</v>
      </c>
      <c r="AP48" s="7">
        <v>7.0</v>
      </c>
      <c r="AQ48" s="7">
        <v>5.0</v>
      </c>
      <c r="AR48" s="7">
        <v>6.0</v>
      </c>
      <c r="AS48" s="7"/>
      <c r="AT48" s="8"/>
      <c r="AU48" s="8"/>
      <c r="AV48" s="8"/>
      <c r="AW48" s="8"/>
      <c r="AX48" s="8"/>
      <c r="AY48" s="8">
        <v>0.0</v>
      </c>
      <c r="AZ48" s="9">
        <f t="shared" si="3"/>
        <v>6</v>
      </c>
    </row>
    <row r="49">
      <c r="A49" s="4">
        <v>42653.55146927084</v>
      </c>
      <c r="B49" s="5">
        <v>35411.0</v>
      </c>
      <c r="C49" s="2" t="s">
        <v>46</v>
      </c>
      <c r="D49" s="2" t="s">
        <v>47</v>
      </c>
      <c r="E49" s="2" t="s">
        <v>296</v>
      </c>
      <c r="F49" s="2" t="s">
        <v>297</v>
      </c>
      <c r="G49" s="2"/>
      <c r="H49" s="2" t="s">
        <v>66</v>
      </c>
      <c r="I49" s="2" t="s">
        <v>51</v>
      </c>
      <c r="J49" s="2" t="s">
        <v>52</v>
      </c>
      <c r="K49" s="2" t="s">
        <v>143</v>
      </c>
      <c r="L49" s="2" t="s">
        <v>95</v>
      </c>
      <c r="M49" s="2" t="s">
        <v>55</v>
      </c>
      <c r="N49" s="2" t="s">
        <v>96</v>
      </c>
      <c r="O49" s="2" t="s">
        <v>97</v>
      </c>
      <c r="P49" s="4">
        <v>28169.55146990741</v>
      </c>
      <c r="Q49" s="5">
        <v>20927.55146990741</v>
      </c>
      <c r="R49" s="2" t="s">
        <v>73</v>
      </c>
      <c r="S49" s="2" t="s">
        <v>73</v>
      </c>
      <c r="T49" s="2" t="s">
        <v>58</v>
      </c>
      <c r="U49" s="2" t="s">
        <v>58</v>
      </c>
      <c r="V49" s="2" t="s">
        <v>298</v>
      </c>
      <c r="W49" s="2" t="s">
        <v>57</v>
      </c>
      <c r="X49" s="2" t="s">
        <v>57</v>
      </c>
      <c r="Y49" s="2" t="s">
        <v>60</v>
      </c>
      <c r="Z49" s="2" t="s">
        <v>60</v>
      </c>
      <c r="AA49" s="2" t="s">
        <v>62</v>
      </c>
      <c r="AB49" s="2" t="s">
        <v>74</v>
      </c>
      <c r="AC49" s="2" t="s">
        <v>74</v>
      </c>
      <c r="AD49" s="2" t="s">
        <v>82</v>
      </c>
      <c r="AE49" s="2"/>
      <c r="AF49" s="2" t="s">
        <v>63</v>
      </c>
      <c r="AG49" s="2" t="s">
        <v>299</v>
      </c>
      <c r="AH49" s="2" t="s">
        <v>300</v>
      </c>
      <c r="AI49" s="2" t="s">
        <v>301</v>
      </c>
      <c r="AJ49" s="2" t="s">
        <v>79</v>
      </c>
      <c r="AK49" s="2" t="s">
        <v>186</v>
      </c>
      <c r="AL49" s="2" t="s">
        <v>82</v>
      </c>
      <c r="AM49" s="2" t="s">
        <v>82</v>
      </c>
      <c r="AN49" s="2" t="s">
        <v>82</v>
      </c>
      <c r="AO49" s="7">
        <v>4.0</v>
      </c>
      <c r="AP49" s="7">
        <v>6.0</v>
      </c>
      <c r="AQ49" s="7">
        <v>4.0</v>
      </c>
      <c r="AR49" s="7">
        <v>5.0</v>
      </c>
      <c r="AS49" s="7"/>
      <c r="AT49" s="8"/>
      <c r="AU49" s="8"/>
      <c r="AV49" s="8"/>
      <c r="AW49" s="8"/>
      <c r="AX49" s="8"/>
      <c r="AY49" s="8">
        <v>2.0</v>
      </c>
      <c r="AZ49" s="9">
        <f t="shared" si="3"/>
        <v>4.75</v>
      </c>
    </row>
    <row r="50">
      <c r="A50" s="4">
        <v>42653.551493506944</v>
      </c>
      <c r="B50" s="5">
        <v>35421.0</v>
      </c>
      <c r="C50" s="2" t="s">
        <v>46</v>
      </c>
      <c r="D50" s="2" t="s">
        <v>47</v>
      </c>
      <c r="E50" s="2" t="s">
        <v>106</v>
      </c>
      <c r="F50" s="2" t="s">
        <v>302</v>
      </c>
      <c r="G50" s="2"/>
      <c r="H50" s="2" t="s">
        <v>137</v>
      </c>
      <c r="I50" s="2" t="s">
        <v>156</v>
      </c>
      <c r="J50" s="2" t="s">
        <v>234</v>
      </c>
      <c r="K50" s="2" t="s">
        <v>143</v>
      </c>
      <c r="L50" s="2" t="s">
        <v>144</v>
      </c>
      <c r="M50" s="2" t="s">
        <v>189</v>
      </c>
      <c r="N50" s="2" t="s">
        <v>96</v>
      </c>
      <c r="O50" s="2" t="s">
        <v>97</v>
      </c>
      <c r="P50" s="4">
        <v>28189.551493055555</v>
      </c>
      <c r="Q50" s="5">
        <v>20957.551493055555</v>
      </c>
      <c r="R50" s="2" t="s">
        <v>100</v>
      </c>
      <c r="S50" s="2" t="s">
        <v>73</v>
      </c>
      <c r="T50" s="2" t="s">
        <v>58</v>
      </c>
      <c r="U50" s="2" t="s">
        <v>58</v>
      </c>
      <c r="V50" s="2"/>
      <c r="W50" s="2" t="s">
        <v>59</v>
      </c>
      <c r="X50" s="2" t="s">
        <v>73</v>
      </c>
      <c r="Y50" s="2" t="s">
        <v>60</v>
      </c>
      <c r="Z50" s="2" t="s">
        <v>60</v>
      </c>
      <c r="AA50" s="2" t="s">
        <v>62</v>
      </c>
      <c r="AB50" s="2" t="s">
        <v>74</v>
      </c>
      <c r="AC50" s="2" t="s">
        <v>74</v>
      </c>
      <c r="AD50" s="2" t="s">
        <v>75</v>
      </c>
      <c r="AE50" s="2" t="s">
        <v>303</v>
      </c>
      <c r="AF50" s="2" t="s">
        <v>63</v>
      </c>
      <c r="AG50" s="2" t="s">
        <v>304</v>
      </c>
      <c r="AH50" s="7">
        <v>7.8</v>
      </c>
      <c r="AI50" s="7">
        <v>9.9</v>
      </c>
      <c r="AJ50" s="2" t="s">
        <v>124</v>
      </c>
      <c r="AK50" s="7">
        <v>7.25</v>
      </c>
      <c r="AL50" s="2" t="s">
        <v>75</v>
      </c>
      <c r="AM50" s="2" t="s">
        <v>82</v>
      </c>
      <c r="AN50" s="2" t="s">
        <v>75</v>
      </c>
      <c r="AO50" s="7">
        <v>4.0</v>
      </c>
      <c r="AP50" s="7">
        <v>7.0</v>
      </c>
      <c r="AQ50" s="7">
        <v>7.0</v>
      </c>
      <c r="AR50" s="7">
        <v>6.0</v>
      </c>
      <c r="AS50" s="7"/>
      <c r="AT50" s="8"/>
      <c r="AU50" s="8"/>
      <c r="AV50" s="8"/>
      <c r="AW50" s="8"/>
      <c r="AX50" s="8"/>
      <c r="AY50" s="8">
        <v>1.0</v>
      </c>
      <c r="AZ50" s="9">
        <f t="shared" si="3"/>
        <v>6</v>
      </c>
    </row>
    <row r="51">
      <c r="A51" s="4">
        <v>42653.6874249074</v>
      </c>
      <c r="B51" s="5">
        <v>35034.0</v>
      </c>
      <c r="C51" s="2" t="s">
        <v>161</v>
      </c>
      <c r="D51" s="2" t="s">
        <v>47</v>
      </c>
      <c r="E51" s="2" t="s">
        <v>48</v>
      </c>
      <c r="F51" s="2" t="s">
        <v>305</v>
      </c>
      <c r="G51" s="2"/>
      <c r="H51" s="2" t="s">
        <v>306</v>
      </c>
      <c r="I51" s="2" t="s">
        <v>51</v>
      </c>
      <c r="J51" s="2" t="s">
        <v>68</v>
      </c>
      <c r="K51" s="2" t="s">
        <v>53</v>
      </c>
      <c r="L51" s="2" t="s">
        <v>54</v>
      </c>
      <c r="M51" s="2" t="s">
        <v>55</v>
      </c>
      <c r="N51" s="2" t="s">
        <v>113</v>
      </c>
      <c r="O51" s="2" t="s">
        <v>307</v>
      </c>
      <c r="P51" s="4">
        <v>27415.687430555554</v>
      </c>
      <c r="Q51" s="5">
        <v>19796.687430555554</v>
      </c>
      <c r="R51" s="2" t="s">
        <v>57</v>
      </c>
      <c r="S51" s="2" t="s">
        <v>98</v>
      </c>
      <c r="T51" s="2" t="s">
        <v>58</v>
      </c>
      <c r="U51" s="2" t="s">
        <v>58</v>
      </c>
      <c r="V51" s="2"/>
      <c r="W51" s="2" t="s">
        <v>57</v>
      </c>
      <c r="X51" s="2" t="s">
        <v>73</v>
      </c>
      <c r="Y51" s="2" t="s">
        <v>61</v>
      </c>
      <c r="Z51" s="2" t="s">
        <v>210</v>
      </c>
      <c r="AA51" s="2" t="s">
        <v>62</v>
      </c>
      <c r="AB51" s="2" t="s">
        <v>74</v>
      </c>
      <c r="AC51" s="2" t="s">
        <v>74</v>
      </c>
      <c r="AD51" s="2" t="s">
        <v>82</v>
      </c>
      <c r="AE51" s="2"/>
      <c r="AF51" s="2" t="s">
        <v>63</v>
      </c>
      <c r="AG51" s="2" t="s">
        <v>110</v>
      </c>
      <c r="AH51" s="2" t="s">
        <v>308</v>
      </c>
      <c r="AI51" s="2" t="s">
        <v>309</v>
      </c>
      <c r="AJ51" s="2" t="s">
        <v>124</v>
      </c>
      <c r="AK51" s="2" t="s">
        <v>310</v>
      </c>
      <c r="AL51" s="2" t="s">
        <v>75</v>
      </c>
      <c r="AM51" s="2" t="s">
        <v>75</v>
      </c>
      <c r="AN51" s="2" t="s">
        <v>75</v>
      </c>
      <c r="AO51" s="7">
        <v>8.0</v>
      </c>
      <c r="AP51" s="7">
        <v>5.0</v>
      </c>
      <c r="AQ51" s="7">
        <v>3.0</v>
      </c>
      <c r="AR51" s="7">
        <v>3.0</v>
      </c>
      <c r="AS51" s="7"/>
      <c r="AT51" s="8"/>
      <c r="AU51" s="8"/>
      <c r="AV51" s="8"/>
      <c r="AW51" s="8"/>
      <c r="AX51" s="8"/>
      <c r="AY51" s="8">
        <v>4.0</v>
      </c>
      <c r="AZ51" s="9">
        <f t="shared" si="3"/>
        <v>4.75</v>
      </c>
    </row>
    <row r="52">
      <c r="A52" s="4">
        <v>42653.688742349535</v>
      </c>
      <c r="B52" s="5">
        <v>30965.0</v>
      </c>
      <c r="C52" s="2" t="s">
        <v>161</v>
      </c>
      <c r="D52" s="2" t="s">
        <v>47</v>
      </c>
      <c r="E52" s="2" t="s">
        <v>106</v>
      </c>
      <c r="F52" s="2" t="s">
        <v>311</v>
      </c>
      <c r="G52" s="2"/>
      <c r="H52" s="2" t="s">
        <v>312</v>
      </c>
      <c r="I52" s="2" t="s">
        <v>51</v>
      </c>
      <c r="J52" s="2" t="s">
        <v>111</v>
      </c>
      <c r="K52" s="2" t="s">
        <v>53</v>
      </c>
      <c r="L52" s="2" t="s">
        <v>69</v>
      </c>
      <c r="M52" s="2" t="s">
        <v>55</v>
      </c>
      <c r="N52" s="2" t="s">
        <v>113</v>
      </c>
      <c r="O52" s="2" t="s">
        <v>97</v>
      </c>
      <c r="P52" s="4">
        <v>19277.688738425924</v>
      </c>
      <c r="Q52" s="5">
        <v>7589.688738425926</v>
      </c>
      <c r="R52" s="2" t="s">
        <v>57</v>
      </c>
      <c r="S52" s="2" t="s">
        <v>57</v>
      </c>
      <c r="T52" s="2" t="s">
        <v>57</v>
      </c>
      <c r="U52" s="2" t="s">
        <v>57</v>
      </c>
      <c r="V52" s="2" t="s">
        <v>313</v>
      </c>
      <c r="W52" s="2" t="s">
        <v>57</v>
      </c>
      <c r="X52" s="2" t="s">
        <v>57</v>
      </c>
      <c r="Y52" s="2" t="s">
        <v>61</v>
      </c>
      <c r="Z52" s="2" t="s">
        <v>61</v>
      </c>
      <c r="AA52" s="2" t="s">
        <v>62</v>
      </c>
      <c r="AB52" s="2" t="s">
        <v>74</v>
      </c>
      <c r="AC52" s="2" t="s">
        <v>74</v>
      </c>
      <c r="AD52" s="2" t="s">
        <v>75</v>
      </c>
      <c r="AE52" s="2"/>
      <c r="AF52" s="2" t="s">
        <v>63</v>
      </c>
      <c r="AG52" s="7">
        <v>7.48</v>
      </c>
      <c r="AH52" s="2" t="s">
        <v>314</v>
      </c>
      <c r="AI52" s="2" t="s">
        <v>314</v>
      </c>
      <c r="AJ52" s="2" t="s">
        <v>79</v>
      </c>
      <c r="AK52" s="7">
        <v>5.0</v>
      </c>
      <c r="AL52" s="2" t="s">
        <v>82</v>
      </c>
      <c r="AM52" s="2" t="s">
        <v>75</v>
      </c>
      <c r="AN52" s="2" t="s">
        <v>75</v>
      </c>
      <c r="AO52" s="7">
        <v>6.0</v>
      </c>
      <c r="AP52" s="7">
        <v>6.0</v>
      </c>
      <c r="AQ52" s="7">
        <v>4.0</v>
      </c>
      <c r="AR52" s="7">
        <v>4.0</v>
      </c>
      <c r="AS52" s="7"/>
      <c r="AT52" s="8"/>
      <c r="AU52" s="8"/>
      <c r="AV52" s="8"/>
      <c r="AW52" s="8"/>
      <c r="AX52" s="8"/>
      <c r="AY52" s="8">
        <v>5.0</v>
      </c>
      <c r="AZ52" s="9">
        <f t="shared" si="3"/>
        <v>5</v>
      </c>
    </row>
    <row r="53">
      <c r="A53" s="4">
        <v>42653.689067326384</v>
      </c>
      <c r="B53" s="5">
        <v>35284.0</v>
      </c>
      <c r="C53" s="2" t="s">
        <v>161</v>
      </c>
      <c r="D53" s="2" t="s">
        <v>47</v>
      </c>
      <c r="E53" s="2" t="s">
        <v>315</v>
      </c>
      <c r="F53" s="2" t="s">
        <v>155</v>
      </c>
      <c r="G53" s="2"/>
      <c r="H53" s="2" t="s">
        <v>120</v>
      </c>
      <c r="I53" s="2" t="s">
        <v>51</v>
      </c>
      <c r="J53" s="2" t="s">
        <v>68</v>
      </c>
      <c r="K53" s="2" t="s">
        <v>143</v>
      </c>
      <c r="L53" s="2" t="s">
        <v>84</v>
      </c>
      <c r="M53" s="2" t="s">
        <v>55</v>
      </c>
      <c r="N53" s="2" t="s">
        <v>113</v>
      </c>
      <c r="O53" s="2" t="s">
        <v>72</v>
      </c>
      <c r="P53" s="4">
        <v>27915.6890625</v>
      </c>
      <c r="Q53" s="5">
        <v>20546.6890625</v>
      </c>
      <c r="R53" s="2" t="s">
        <v>73</v>
      </c>
      <c r="S53" s="2" t="s">
        <v>57</v>
      </c>
      <c r="T53" s="2" t="s">
        <v>58</v>
      </c>
      <c r="U53" s="2" t="s">
        <v>58</v>
      </c>
      <c r="V53" s="2"/>
      <c r="W53" s="2" t="s">
        <v>59</v>
      </c>
      <c r="X53" s="2" t="s">
        <v>170</v>
      </c>
      <c r="Y53" s="2" t="s">
        <v>61</v>
      </c>
      <c r="Z53" s="2" t="s">
        <v>61</v>
      </c>
      <c r="AA53" s="2" t="s">
        <v>62</v>
      </c>
      <c r="AB53" s="2" t="s">
        <v>63</v>
      </c>
      <c r="AC53" s="2" t="s">
        <v>74</v>
      </c>
      <c r="AD53" s="2" t="s">
        <v>93</v>
      </c>
      <c r="AE53" s="2"/>
      <c r="AF53" s="2" t="s">
        <v>63</v>
      </c>
      <c r="AG53" s="2" t="s">
        <v>316</v>
      </c>
      <c r="AH53" s="2" t="s">
        <v>317</v>
      </c>
      <c r="AI53" s="7">
        <v>10.0</v>
      </c>
      <c r="AJ53" s="2" t="s">
        <v>124</v>
      </c>
      <c r="AK53" s="2" t="s">
        <v>318</v>
      </c>
      <c r="AL53" s="2" t="s">
        <v>82</v>
      </c>
      <c r="AM53" s="2" t="s">
        <v>75</v>
      </c>
      <c r="AN53" s="2" t="s">
        <v>75</v>
      </c>
      <c r="AO53" s="7">
        <v>7.0</v>
      </c>
      <c r="AP53" s="7">
        <v>9.0</v>
      </c>
      <c r="AQ53" s="7">
        <v>10.0</v>
      </c>
      <c r="AR53" s="7">
        <v>7.0</v>
      </c>
      <c r="AS53" s="7"/>
      <c r="AT53" s="8"/>
      <c r="AU53" s="8"/>
      <c r="AV53" s="8"/>
      <c r="AW53" s="8"/>
      <c r="AX53" s="8"/>
      <c r="AY53" s="8">
        <v>0.0</v>
      </c>
      <c r="AZ53" s="9">
        <f t="shared" si="3"/>
        <v>8.25</v>
      </c>
    </row>
    <row r="54">
      <c r="A54" s="4">
        <v>42653.6891994676</v>
      </c>
      <c r="B54" s="5">
        <v>35208.0</v>
      </c>
      <c r="C54" s="2" t="s">
        <v>161</v>
      </c>
      <c r="D54" s="2" t="s">
        <v>47</v>
      </c>
      <c r="E54" s="2" t="s">
        <v>319</v>
      </c>
      <c r="F54" s="2" t="s">
        <v>320</v>
      </c>
      <c r="G54" s="2"/>
      <c r="H54" s="2" t="s">
        <v>66</v>
      </c>
      <c r="I54" s="2" t="s">
        <v>51</v>
      </c>
      <c r="J54" s="2" t="s">
        <v>52</v>
      </c>
      <c r="K54" s="2" t="s">
        <v>53</v>
      </c>
      <c r="L54" s="2" t="s">
        <v>95</v>
      </c>
      <c r="M54" s="2" t="s">
        <v>70</v>
      </c>
      <c r="N54" s="2" t="s">
        <v>86</v>
      </c>
      <c r="O54" s="2" t="s">
        <v>97</v>
      </c>
      <c r="P54" s="4">
        <v>27763.68920138889</v>
      </c>
      <c r="Q54" s="5">
        <v>20318.68920138889</v>
      </c>
      <c r="R54" s="2" t="s">
        <v>73</v>
      </c>
      <c r="S54" s="2" t="s">
        <v>73</v>
      </c>
      <c r="T54" s="2" t="s">
        <v>73</v>
      </c>
      <c r="U54" s="2" t="s">
        <v>57</v>
      </c>
      <c r="V54" s="2" t="s">
        <v>321</v>
      </c>
      <c r="W54" s="2" t="s">
        <v>59</v>
      </c>
      <c r="X54" s="2" t="s">
        <v>170</v>
      </c>
      <c r="Y54" s="2" t="s">
        <v>61</v>
      </c>
      <c r="Z54" s="2" t="s">
        <v>61</v>
      </c>
      <c r="AA54" s="2" t="s">
        <v>62</v>
      </c>
      <c r="AB54" s="2" t="s">
        <v>74</v>
      </c>
      <c r="AC54" s="2" t="s">
        <v>74</v>
      </c>
      <c r="AD54" s="2" t="s">
        <v>75</v>
      </c>
      <c r="AE54" s="2" t="s">
        <v>322</v>
      </c>
      <c r="AF54" s="2"/>
      <c r="AG54" s="7">
        <v>15.0</v>
      </c>
      <c r="AH54" s="2" t="s">
        <v>226</v>
      </c>
      <c r="AI54" s="2" t="s">
        <v>91</v>
      </c>
      <c r="AJ54" s="2" t="s">
        <v>79</v>
      </c>
      <c r="AK54" s="2" t="s">
        <v>131</v>
      </c>
      <c r="AL54" s="2" t="s">
        <v>75</v>
      </c>
      <c r="AM54" s="2" t="s">
        <v>81</v>
      </c>
      <c r="AN54" s="2" t="s">
        <v>75</v>
      </c>
      <c r="AO54" s="7">
        <v>7.0</v>
      </c>
      <c r="AP54" s="7">
        <v>8.0</v>
      </c>
      <c r="AQ54" s="7">
        <v>8.0</v>
      </c>
      <c r="AR54" s="7">
        <v>6.0</v>
      </c>
      <c r="AS54" s="7"/>
      <c r="AT54" s="8"/>
      <c r="AU54" s="8"/>
      <c r="AV54" s="8"/>
      <c r="AW54" s="8"/>
      <c r="AX54" s="8"/>
      <c r="AY54" s="8">
        <v>0.0</v>
      </c>
      <c r="AZ54" s="9">
        <f t="shared" si="3"/>
        <v>7.25</v>
      </c>
    </row>
    <row r="55">
      <c r="A55" s="4">
        <v>42653.689385833335</v>
      </c>
      <c r="B55" s="5">
        <v>35284.0</v>
      </c>
      <c r="C55" s="2" t="s">
        <v>161</v>
      </c>
      <c r="D55" s="2" t="s">
        <v>47</v>
      </c>
      <c r="E55" s="2" t="s">
        <v>315</v>
      </c>
      <c r="F55" s="2" t="s">
        <v>155</v>
      </c>
      <c r="G55" s="2"/>
      <c r="H55" s="2" t="s">
        <v>120</v>
      </c>
      <c r="I55" s="2" t="s">
        <v>51</v>
      </c>
      <c r="J55" s="2" t="s">
        <v>68</v>
      </c>
      <c r="K55" s="2" t="s">
        <v>143</v>
      </c>
      <c r="L55" s="2" t="s">
        <v>84</v>
      </c>
      <c r="M55" s="2" t="s">
        <v>55</v>
      </c>
      <c r="N55" s="2" t="s">
        <v>113</v>
      </c>
      <c r="O55" s="2" t="s">
        <v>72</v>
      </c>
      <c r="P55" s="4">
        <v>27915.689386574075</v>
      </c>
      <c r="Q55" s="5">
        <v>20546.689386574075</v>
      </c>
      <c r="R55" s="2" t="s">
        <v>73</v>
      </c>
      <c r="S55" s="2" t="s">
        <v>57</v>
      </c>
      <c r="T55" s="2" t="s">
        <v>58</v>
      </c>
      <c r="U55" s="2" t="s">
        <v>58</v>
      </c>
      <c r="V55" s="2"/>
      <c r="W55" s="2" t="s">
        <v>59</v>
      </c>
      <c r="X55" s="2" t="s">
        <v>170</v>
      </c>
      <c r="Y55" s="2" t="s">
        <v>61</v>
      </c>
      <c r="Z55" s="2" t="s">
        <v>61</v>
      </c>
      <c r="AA55" s="2" t="s">
        <v>62</v>
      </c>
      <c r="AB55" s="2" t="s">
        <v>63</v>
      </c>
      <c r="AC55" s="2" t="s">
        <v>74</v>
      </c>
      <c r="AD55" s="2" t="s">
        <v>93</v>
      </c>
      <c r="AE55" s="2"/>
      <c r="AF55" s="2" t="s">
        <v>63</v>
      </c>
      <c r="AG55" s="2" t="s">
        <v>316</v>
      </c>
      <c r="AH55" s="2" t="s">
        <v>317</v>
      </c>
      <c r="AI55" s="7">
        <v>10.0</v>
      </c>
      <c r="AJ55" s="2" t="s">
        <v>124</v>
      </c>
      <c r="AK55" s="2" t="s">
        <v>318</v>
      </c>
      <c r="AL55" s="2" t="s">
        <v>82</v>
      </c>
      <c r="AM55" s="2" t="s">
        <v>75</v>
      </c>
      <c r="AN55" s="2" t="s">
        <v>75</v>
      </c>
      <c r="AO55" s="7">
        <v>7.0</v>
      </c>
      <c r="AP55" s="7">
        <v>9.0</v>
      </c>
      <c r="AQ55" s="7">
        <v>10.0</v>
      </c>
      <c r="AR55" s="7">
        <v>7.0</v>
      </c>
      <c r="AS55" s="7"/>
      <c r="AT55" s="8"/>
      <c r="AU55" s="8"/>
      <c r="AV55" s="8"/>
      <c r="AW55" s="8"/>
      <c r="AX55" s="8"/>
      <c r="AY55" s="8">
        <v>0.0</v>
      </c>
      <c r="AZ55" s="9">
        <f t="shared" si="3"/>
        <v>8.25</v>
      </c>
    </row>
    <row r="56">
      <c r="A56" s="4">
        <v>42653.689498402775</v>
      </c>
      <c r="B56" s="5">
        <v>35341.0</v>
      </c>
      <c r="C56" s="2" t="s">
        <v>161</v>
      </c>
      <c r="D56" s="2" t="s">
        <v>47</v>
      </c>
      <c r="E56" s="2" t="s">
        <v>323</v>
      </c>
      <c r="F56" s="2" t="s">
        <v>324</v>
      </c>
      <c r="G56" s="2"/>
      <c r="H56" s="2" t="s">
        <v>66</v>
      </c>
      <c r="I56" s="2" t="s">
        <v>51</v>
      </c>
      <c r="J56" s="2" t="s">
        <v>68</v>
      </c>
      <c r="K56" s="2" t="s">
        <v>53</v>
      </c>
      <c r="L56" s="2" t="s">
        <v>84</v>
      </c>
      <c r="M56" s="2" t="s">
        <v>189</v>
      </c>
      <c r="N56" s="2" t="s">
        <v>96</v>
      </c>
      <c r="O56" s="2" t="s">
        <v>97</v>
      </c>
      <c r="P56" s="4">
        <v>28029.689502314814</v>
      </c>
      <c r="Q56" s="5">
        <v>20717.689502314814</v>
      </c>
      <c r="R56" s="2" t="s">
        <v>73</v>
      </c>
      <c r="S56" s="2" t="s">
        <v>73</v>
      </c>
      <c r="T56" s="2" t="s">
        <v>58</v>
      </c>
      <c r="U56" s="2" t="s">
        <v>58</v>
      </c>
      <c r="V56" s="2" t="s">
        <v>325</v>
      </c>
      <c r="W56" s="2" t="s">
        <v>73</v>
      </c>
      <c r="X56" s="2" t="s">
        <v>170</v>
      </c>
      <c r="Y56" s="2" t="s">
        <v>61</v>
      </c>
      <c r="Z56" s="2" t="s">
        <v>61</v>
      </c>
      <c r="AA56" s="2" t="s">
        <v>62</v>
      </c>
      <c r="AB56" s="2" t="s">
        <v>63</v>
      </c>
      <c r="AC56" s="2" t="s">
        <v>74</v>
      </c>
      <c r="AD56" s="2" t="s">
        <v>81</v>
      </c>
      <c r="AE56" s="2" t="s">
        <v>326</v>
      </c>
      <c r="AF56" s="2" t="s">
        <v>63</v>
      </c>
      <c r="AG56" s="2" t="s">
        <v>327</v>
      </c>
      <c r="AH56" s="7">
        <v>9.16</v>
      </c>
      <c r="AI56" s="7">
        <v>9.5</v>
      </c>
      <c r="AJ56" s="2" t="s">
        <v>79</v>
      </c>
      <c r="AK56" s="7">
        <v>8.9</v>
      </c>
      <c r="AL56" s="2" t="s">
        <v>82</v>
      </c>
      <c r="AM56" s="2" t="s">
        <v>81</v>
      </c>
      <c r="AN56" s="2" t="s">
        <v>82</v>
      </c>
      <c r="AO56" s="7">
        <v>8.0</v>
      </c>
      <c r="AP56" s="7">
        <v>8.0</v>
      </c>
      <c r="AQ56" s="7">
        <v>9.0</v>
      </c>
      <c r="AR56" s="7">
        <v>7.0</v>
      </c>
      <c r="AS56" s="7"/>
      <c r="AT56" s="8"/>
      <c r="AU56" s="8"/>
      <c r="AV56" s="8"/>
      <c r="AW56" s="8"/>
      <c r="AX56" s="8"/>
      <c r="AY56" s="8">
        <v>0.0</v>
      </c>
      <c r="AZ56" s="9">
        <f t="shared" si="3"/>
        <v>8</v>
      </c>
    </row>
    <row r="57">
      <c r="A57" s="4">
        <v>42653.689926886575</v>
      </c>
      <c r="B57" s="5">
        <v>35341.0</v>
      </c>
      <c r="C57" s="2" t="s">
        <v>161</v>
      </c>
      <c r="D57" s="2" t="s">
        <v>47</v>
      </c>
      <c r="E57" s="2" t="s">
        <v>323</v>
      </c>
      <c r="F57" s="2" t="s">
        <v>324</v>
      </c>
      <c r="G57" s="2"/>
      <c r="H57" s="2" t="s">
        <v>66</v>
      </c>
      <c r="I57" s="2" t="s">
        <v>51</v>
      </c>
      <c r="J57" s="2" t="s">
        <v>68</v>
      </c>
      <c r="K57" s="2" t="s">
        <v>53</v>
      </c>
      <c r="L57" s="2" t="s">
        <v>84</v>
      </c>
      <c r="M57" s="2" t="s">
        <v>189</v>
      </c>
      <c r="N57" s="2" t="s">
        <v>96</v>
      </c>
      <c r="O57" s="2" t="s">
        <v>97</v>
      </c>
      <c r="P57" s="4">
        <v>28029.689930555556</v>
      </c>
      <c r="Q57" s="5">
        <v>20717.689930555556</v>
      </c>
      <c r="R57" s="2" t="s">
        <v>73</v>
      </c>
      <c r="S57" s="2" t="s">
        <v>73</v>
      </c>
      <c r="T57" s="2" t="s">
        <v>58</v>
      </c>
      <c r="U57" s="2" t="s">
        <v>58</v>
      </c>
      <c r="V57" s="2" t="s">
        <v>325</v>
      </c>
      <c r="W57" s="2" t="s">
        <v>73</v>
      </c>
      <c r="X57" s="2" t="s">
        <v>170</v>
      </c>
      <c r="Y57" s="2" t="s">
        <v>61</v>
      </c>
      <c r="Z57" s="2" t="s">
        <v>61</v>
      </c>
      <c r="AA57" s="2" t="s">
        <v>62</v>
      </c>
      <c r="AB57" s="2" t="s">
        <v>63</v>
      </c>
      <c r="AC57" s="2" t="s">
        <v>74</v>
      </c>
      <c r="AD57" s="2" t="s">
        <v>81</v>
      </c>
      <c r="AE57" s="2" t="s">
        <v>326</v>
      </c>
      <c r="AF57" s="2" t="s">
        <v>63</v>
      </c>
      <c r="AG57" s="2" t="s">
        <v>327</v>
      </c>
      <c r="AH57" s="7">
        <v>9.16</v>
      </c>
      <c r="AI57" s="7">
        <v>9.5</v>
      </c>
      <c r="AJ57" s="2" t="s">
        <v>79</v>
      </c>
      <c r="AK57" s="7">
        <v>8.9</v>
      </c>
      <c r="AL57" s="2" t="s">
        <v>82</v>
      </c>
      <c r="AM57" s="2" t="s">
        <v>81</v>
      </c>
      <c r="AN57" s="2" t="s">
        <v>82</v>
      </c>
      <c r="AO57" s="7">
        <v>8.0</v>
      </c>
      <c r="AP57" s="7">
        <v>8.0</v>
      </c>
      <c r="AQ57" s="7">
        <v>9.0</v>
      </c>
      <c r="AR57" s="7">
        <v>7.0</v>
      </c>
      <c r="AS57" s="7"/>
      <c r="AT57" s="8"/>
      <c r="AU57" s="8"/>
      <c r="AV57" s="8"/>
      <c r="AW57" s="8"/>
      <c r="AX57" s="8"/>
      <c r="AY57" s="8">
        <v>0.0</v>
      </c>
      <c r="AZ57" s="9">
        <f t="shared" si="3"/>
        <v>8</v>
      </c>
    </row>
    <row r="58">
      <c r="A58" s="4">
        <v>42653.690085775466</v>
      </c>
      <c r="B58" s="5">
        <v>35326.0</v>
      </c>
      <c r="C58" s="2" t="s">
        <v>161</v>
      </c>
      <c r="D58" s="2" t="s">
        <v>47</v>
      </c>
      <c r="E58" s="2" t="s">
        <v>106</v>
      </c>
      <c r="F58" s="2" t="s">
        <v>328</v>
      </c>
      <c r="G58" s="2"/>
      <c r="H58" s="2" t="s">
        <v>329</v>
      </c>
      <c r="I58" s="2" t="s">
        <v>142</v>
      </c>
      <c r="J58" s="2" t="s">
        <v>111</v>
      </c>
      <c r="K58" s="2" t="s">
        <v>53</v>
      </c>
      <c r="L58" s="2" t="s">
        <v>112</v>
      </c>
      <c r="M58" s="2" t="s">
        <v>70</v>
      </c>
      <c r="N58" s="2" t="s">
        <v>113</v>
      </c>
      <c r="O58" s="2" t="s">
        <v>72</v>
      </c>
      <c r="P58" s="4">
        <v>27999.690081018518</v>
      </c>
      <c r="Q58" s="5">
        <v>20672.690081018518</v>
      </c>
      <c r="R58" s="2" t="s">
        <v>73</v>
      </c>
      <c r="S58" s="2" t="s">
        <v>73</v>
      </c>
      <c r="T58" s="2" t="s">
        <v>58</v>
      </c>
      <c r="U58" s="2" t="s">
        <v>58</v>
      </c>
      <c r="V58" s="2"/>
      <c r="W58" s="2" t="s">
        <v>73</v>
      </c>
      <c r="X58" s="2" t="s">
        <v>73</v>
      </c>
      <c r="Y58" s="2" t="s">
        <v>60</v>
      </c>
      <c r="Z58" s="2" t="s">
        <v>61</v>
      </c>
      <c r="AA58" s="2" t="s">
        <v>62</v>
      </c>
      <c r="AB58" s="2" t="s">
        <v>63</v>
      </c>
      <c r="AC58" s="2" t="s">
        <v>74</v>
      </c>
      <c r="AD58" s="2" t="s">
        <v>82</v>
      </c>
      <c r="AE58" s="2"/>
      <c r="AF58" s="2" t="s">
        <v>63</v>
      </c>
      <c r="AG58" s="2" t="s">
        <v>330</v>
      </c>
      <c r="AH58" s="2" t="s">
        <v>153</v>
      </c>
      <c r="AI58" s="7">
        <v>10.0</v>
      </c>
      <c r="AJ58" s="2" t="s">
        <v>124</v>
      </c>
      <c r="AK58" s="2" t="s">
        <v>147</v>
      </c>
      <c r="AL58" s="2" t="s">
        <v>82</v>
      </c>
      <c r="AM58" s="2" t="s">
        <v>75</v>
      </c>
      <c r="AN58" s="2" t="s">
        <v>82</v>
      </c>
      <c r="AO58" s="7">
        <v>6.0</v>
      </c>
      <c r="AP58" s="7">
        <v>6.0</v>
      </c>
      <c r="AQ58" s="7">
        <v>7.0</v>
      </c>
      <c r="AR58" s="7">
        <v>7.0</v>
      </c>
      <c r="AS58" s="7"/>
      <c r="AT58" s="8"/>
      <c r="AU58" s="8"/>
      <c r="AV58" s="8"/>
      <c r="AW58" s="8"/>
      <c r="AX58" s="8"/>
      <c r="AY58" s="8">
        <v>0.0</v>
      </c>
      <c r="AZ58" s="9">
        <f t="shared" si="3"/>
        <v>6.5</v>
      </c>
    </row>
    <row r="59">
      <c r="A59" s="4">
        <v>42653.69018172454</v>
      </c>
      <c r="B59" s="5">
        <v>34904.0</v>
      </c>
      <c r="C59" s="2" t="s">
        <v>161</v>
      </c>
      <c r="D59" s="2" t="s">
        <v>47</v>
      </c>
      <c r="E59" s="2" t="s">
        <v>331</v>
      </c>
      <c r="F59" s="2" t="s">
        <v>332</v>
      </c>
      <c r="G59" s="2"/>
      <c r="H59" s="2" t="s">
        <v>66</v>
      </c>
      <c r="I59" s="2" t="s">
        <v>246</v>
      </c>
      <c r="J59" s="2" t="s">
        <v>68</v>
      </c>
      <c r="K59" s="2" t="s">
        <v>53</v>
      </c>
      <c r="L59" s="2" t="s">
        <v>69</v>
      </c>
      <c r="M59" s="2" t="s">
        <v>85</v>
      </c>
      <c r="N59" s="2" t="s">
        <v>113</v>
      </c>
      <c r="O59" s="2" t="s">
        <v>72</v>
      </c>
      <c r="P59" s="4">
        <v>27155.690185185184</v>
      </c>
      <c r="Q59" s="5">
        <v>19406.690185185184</v>
      </c>
      <c r="R59" s="2" t="s">
        <v>57</v>
      </c>
      <c r="S59" s="2" t="s">
        <v>100</v>
      </c>
      <c r="T59" s="2" t="s">
        <v>58</v>
      </c>
      <c r="U59" s="2" t="s">
        <v>57</v>
      </c>
      <c r="V59" s="2" t="s">
        <v>333</v>
      </c>
      <c r="W59" s="2" t="s">
        <v>57</v>
      </c>
      <c r="X59" s="2" t="s">
        <v>57</v>
      </c>
      <c r="Y59" s="2" t="s">
        <v>61</v>
      </c>
      <c r="Z59" s="2" t="s">
        <v>61</v>
      </c>
      <c r="AA59" s="2" t="s">
        <v>62</v>
      </c>
      <c r="AB59" s="2" t="s">
        <v>74</v>
      </c>
      <c r="AC59" s="2" t="s">
        <v>74</v>
      </c>
      <c r="AD59" s="2" t="s">
        <v>82</v>
      </c>
      <c r="AE59" s="2" t="s">
        <v>334</v>
      </c>
      <c r="AF59" s="2" t="s">
        <v>63</v>
      </c>
      <c r="AG59" s="7">
        <v>18.0</v>
      </c>
      <c r="AH59" s="7">
        <v>9.38</v>
      </c>
      <c r="AI59" s="7">
        <v>9.3</v>
      </c>
      <c r="AJ59" s="2" t="s">
        <v>79</v>
      </c>
      <c r="AK59" s="7">
        <v>9.45</v>
      </c>
      <c r="AL59" s="2" t="s">
        <v>82</v>
      </c>
      <c r="AM59" s="2" t="s">
        <v>75</v>
      </c>
      <c r="AN59" s="2" t="s">
        <v>82</v>
      </c>
      <c r="AO59" s="7">
        <v>10.0</v>
      </c>
      <c r="AP59" s="7">
        <v>10.0</v>
      </c>
      <c r="AQ59" s="7">
        <v>9.0</v>
      </c>
      <c r="AR59" s="7">
        <v>8.0</v>
      </c>
      <c r="AS59" s="7"/>
      <c r="AT59" s="8"/>
      <c r="AU59" s="8"/>
      <c r="AV59" s="8"/>
      <c r="AW59" s="8"/>
      <c r="AX59" s="8"/>
      <c r="AY59" s="8">
        <v>0.0</v>
      </c>
      <c r="AZ59" s="9">
        <f t="shared" si="3"/>
        <v>9.25</v>
      </c>
    </row>
    <row r="60">
      <c r="A60" s="4">
        <v>42653.6903253125</v>
      </c>
      <c r="B60" s="5">
        <v>35401.0</v>
      </c>
      <c r="C60" s="2" t="s">
        <v>161</v>
      </c>
      <c r="D60" s="2" t="s">
        <v>47</v>
      </c>
      <c r="E60" s="2" t="s">
        <v>48</v>
      </c>
      <c r="F60" s="2" t="s">
        <v>94</v>
      </c>
      <c r="G60" s="2"/>
      <c r="H60" s="2" t="s">
        <v>66</v>
      </c>
      <c r="I60" s="2" t="s">
        <v>51</v>
      </c>
      <c r="J60" s="2" t="s">
        <v>111</v>
      </c>
      <c r="K60" s="2" t="s">
        <v>53</v>
      </c>
      <c r="L60" s="2" t="s">
        <v>54</v>
      </c>
      <c r="M60" s="2" t="s">
        <v>85</v>
      </c>
      <c r="N60" s="2" t="s">
        <v>86</v>
      </c>
      <c r="O60" s="2" t="s">
        <v>72</v>
      </c>
      <c r="P60" s="4">
        <v>28149.690324074076</v>
      </c>
      <c r="Q60" s="5">
        <v>20897.690324074076</v>
      </c>
      <c r="R60" s="2" t="s">
        <v>100</v>
      </c>
      <c r="S60" s="2" t="s">
        <v>73</v>
      </c>
      <c r="T60" s="2" t="s">
        <v>58</v>
      </c>
      <c r="U60" s="2" t="s">
        <v>58</v>
      </c>
      <c r="V60" s="2"/>
      <c r="W60" s="2" t="s">
        <v>59</v>
      </c>
      <c r="X60" s="2" t="s">
        <v>57</v>
      </c>
      <c r="Y60" s="2" t="s">
        <v>60</v>
      </c>
      <c r="Z60" s="2" t="s">
        <v>61</v>
      </c>
      <c r="AA60" s="2" t="s">
        <v>62</v>
      </c>
      <c r="AB60" s="2" t="s">
        <v>63</v>
      </c>
      <c r="AC60" s="2" t="s">
        <v>63</v>
      </c>
      <c r="AD60" s="2" t="s">
        <v>82</v>
      </c>
      <c r="AE60" s="2" t="s">
        <v>335</v>
      </c>
      <c r="AF60" s="2" t="s">
        <v>63</v>
      </c>
      <c r="AG60" s="7">
        <v>7.12</v>
      </c>
      <c r="AH60" s="7">
        <v>7.46</v>
      </c>
      <c r="AI60" s="7">
        <v>7.75</v>
      </c>
      <c r="AJ60" s="2" t="s">
        <v>79</v>
      </c>
      <c r="AK60" s="7">
        <v>7.3</v>
      </c>
      <c r="AL60" s="2" t="s">
        <v>82</v>
      </c>
      <c r="AM60" s="2" t="s">
        <v>82</v>
      </c>
      <c r="AN60" s="2" t="s">
        <v>82</v>
      </c>
      <c r="AO60" s="7">
        <v>5.0</v>
      </c>
      <c r="AP60" s="7">
        <v>6.0</v>
      </c>
      <c r="AQ60" s="7">
        <v>6.0</v>
      </c>
      <c r="AR60" s="7">
        <v>6.0</v>
      </c>
      <c r="AS60" s="7"/>
      <c r="AT60" s="8"/>
      <c r="AU60" s="8"/>
      <c r="AV60" s="8"/>
      <c r="AW60" s="8"/>
      <c r="AX60" s="8"/>
      <c r="AY60" s="8">
        <v>1.0</v>
      </c>
      <c r="AZ60" s="9">
        <f t="shared" si="3"/>
        <v>5.75</v>
      </c>
    </row>
    <row r="61">
      <c r="A61" s="4">
        <v>42653.6903256713</v>
      </c>
      <c r="B61" s="5">
        <v>35550.0</v>
      </c>
      <c r="C61" s="2" t="s">
        <v>161</v>
      </c>
      <c r="D61" s="2" t="s">
        <v>47</v>
      </c>
      <c r="E61" s="2" t="s">
        <v>106</v>
      </c>
      <c r="F61" s="2" t="s">
        <v>336</v>
      </c>
      <c r="G61" s="2"/>
      <c r="H61" s="2" t="s">
        <v>120</v>
      </c>
      <c r="I61" s="2" t="s">
        <v>51</v>
      </c>
      <c r="J61" s="2" t="s">
        <v>68</v>
      </c>
      <c r="K61" s="2" t="s">
        <v>53</v>
      </c>
      <c r="L61" s="2" t="s">
        <v>84</v>
      </c>
      <c r="M61" s="2" t="s">
        <v>70</v>
      </c>
      <c r="N61" s="2" t="s">
        <v>113</v>
      </c>
      <c r="O61" s="2" t="s">
        <v>97</v>
      </c>
      <c r="P61" s="4">
        <v>28447.690324074076</v>
      </c>
      <c r="Q61" s="5">
        <v>21344.690324074076</v>
      </c>
      <c r="R61" s="2" t="s">
        <v>159</v>
      </c>
      <c r="S61" s="2" t="s">
        <v>100</v>
      </c>
      <c r="T61" s="2" t="s">
        <v>57</v>
      </c>
      <c r="U61" s="2" t="s">
        <v>58</v>
      </c>
      <c r="V61" s="2"/>
      <c r="W61" s="2" t="s">
        <v>100</v>
      </c>
      <c r="X61" s="2" t="s">
        <v>57</v>
      </c>
      <c r="Y61" s="2" t="s">
        <v>61</v>
      </c>
      <c r="Z61" s="2" t="s">
        <v>61</v>
      </c>
      <c r="AA61" s="2" t="s">
        <v>62</v>
      </c>
      <c r="AB61" s="2" t="s">
        <v>63</v>
      </c>
      <c r="AC61" s="2" t="s">
        <v>74</v>
      </c>
      <c r="AD61" s="2" t="s">
        <v>82</v>
      </c>
      <c r="AE61" s="2"/>
      <c r="AF61" s="2" t="s">
        <v>63</v>
      </c>
      <c r="AG61" s="2"/>
      <c r="AH61" s="2"/>
      <c r="AI61" s="2"/>
      <c r="AJ61" s="2" t="s">
        <v>124</v>
      </c>
      <c r="AK61" s="2"/>
      <c r="AL61" s="2" t="s">
        <v>75</v>
      </c>
      <c r="AM61" s="2" t="s">
        <v>93</v>
      </c>
      <c r="AN61" s="2" t="s">
        <v>82</v>
      </c>
      <c r="AO61" s="2"/>
      <c r="AP61" s="2"/>
      <c r="AQ61" s="2"/>
      <c r="AR61" s="2"/>
      <c r="AS61" s="2"/>
      <c r="AT61" s="9"/>
      <c r="AU61" s="9"/>
      <c r="AV61" s="9"/>
      <c r="AW61" s="9"/>
      <c r="AX61" s="9"/>
      <c r="AY61" s="9"/>
      <c r="AZ61" s="9"/>
    </row>
    <row r="62">
      <c r="A62" s="4">
        <v>42653.69100821759</v>
      </c>
      <c r="B62" s="5">
        <v>35313.0</v>
      </c>
      <c r="C62" s="2" t="s">
        <v>161</v>
      </c>
      <c r="D62" s="2" t="s">
        <v>47</v>
      </c>
      <c r="E62" s="2" t="s">
        <v>48</v>
      </c>
      <c r="F62" s="2" t="s">
        <v>337</v>
      </c>
      <c r="G62" s="2"/>
      <c r="H62" s="2" t="s">
        <v>338</v>
      </c>
      <c r="I62" s="2" t="s">
        <v>128</v>
      </c>
      <c r="J62" s="2" t="s">
        <v>52</v>
      </c>
      <c r="K62" s="2" t="s">
        <v>143</v>
      </c>
      <c r="L62" s="2" t="s">
        <v>95</v>
      </c>
      <c r="M62" s="2" t="s">
        <v>85</v>
      </c>
      <c r="N62" s="2" t="s">
        <v>113</v>
      </c>
      <c r="O62" s="2" t="s">
        <v>97</v>
      </c>
      <c r="P62" s="4">
        <v>27973.691006944446</v>
      </c>
      <c r="Q62" s="5">
        <v>20633.691006944446</v>
      </c>
      <c r="R62" s="2" t="s">
        <v>73</v>
      </c>
      <c r="S62" s="2" t="s">
        <v>73</v>
      </c>
      <c r="T62" s="2" t="s">
        <v>58</v>
      </c>
      <c r="U62" s="2" t="s">
        <v>58</v>
      </c>
      <c r="V62" s="2"/>
      <c r="W62" s="2" t="s">
        <v>59</v>
      </c>
      <c r="X62" s="2" t="s">
        <v>170</v>
      </c>
      <c r="Y62" s="2" t="s">
        <v>60</v>
      </c>
      <c r="Z62" s="2" t="s">
        <v>101</v>
      </c>
      <c r="AA62" s="2" t="s">
        <v>62</v>
      </c>
      <c r="AB62" s="2" t="s">
        <v>74</v>
      </c>
      <c r="AC62" s="2" t="s">
        <v>74</v>
      </c>
      <c r="AD62" s="2" t="s">
        <v>82</v>
      </c>
      <c r="AE62" s="2" t="s">
        <v>339</v>
      </c>
      <c r="AF62" s="2" t="s">
        <v>63</v>
      </c>
      <c r="AG62" s="2" t="s">
        <v>340</v>
      </c>
      <c r="AH62" s="2" t="s">
        <v>341</v>
      </c>
      <c r="AI62" s="2" t="s">
        <v>245</v>
      </c>
      <c r="AJ62" s="2" t="s">
        <v>124</v>
      </c>
      <c r="AK62" s="2" t="s">
        <v>342</v>
      </c>
      <c r="AL62" s="2" t="s">
        <v>82</v>
      </c>
      <c r="AM62" s="2" t="s">
        <v>82</v>
      </c>
      <c r="AN62" s="2" t="s">
        <v>82</v>
      </c>
      <c r="AO62" s="7">
        <v>6.0</v>
      </c>
      <c r="AP62" s="7">
        <v>6.0</v>
      </c>
      <c r="AQ62" s="7">
        <v>7.0</v>
      </c>
      <c r="AR62" s="7">
        <v>6.0</v>
      </c>
      <c r="AS62" s="2"/>
      <c r="AT62" s="9"/>
      <c r="AU62" s="9"/>
      <c r="AV62" s="9"/>
      <c r="AW62" s="9"/>
      <c r="AX62" s="9"/>
      <c r="AY62" s="9"/>
      <c r="AZ62" s="9">
        <f t="shared" ref="AZ62:AZ74" si="4">AVERAGE(AO62:AR62)</f>
        <v>6.25</v>
      </c>
    </row>
    <row r="63">
      <c r="A63" s="4">
        <v>42653.691104791666</v>
      </c>
      <c r="B63" s="5">
        <v>35165.0</v>
      </c>
      <c r="C63" s="2" t="s">
        <v>161</v>
      </c>
      <c r="D63" s="2" t="s">
        <v>47</v>
      </c>
      <c r="E63" s="2" t="s">
        <v>291</v>
      </c>
      <c r="F63" s="2" t="s">
        <v>343</v>
      </c>
      <c r="G63" s="2"/>
      <c r="H63" s="2" t="s">
        <v>66</v>
      </c>
      <c r="I63" s="2" t="s">
        <v>51</v>
      </c>
      <c r="J63" s="2" t="s">
        <v>68</v>
      </c>
      <c r="K63" s="2" t="s">
        <v>53</v>
      </c>
      <c r="L63" s="2" t="s">
        <v>69</v>
      </c>
      <c r="M63" s="2" t="s">
        <v>85</v>
      </c>
      <c r="N63" s="2" t="s">
        <v>96</v>
      </c>
      <c r="O63" s="2" t="s">
        <v>97</v>
      </c>
      <c r="P63" s="4">
        <v>27677.691099537038</v>
      </c>
      <c r="Q63" s="5">
        <v>20189.691099537038</v>
      </c>
      <c r="R63" s="2" t="s">
        <v>58</v>
      </c>
      <c r="S63" s="2" t="s">
        <v>57</v>
      </c>
      <c r="T63" s="2" t="s">
        <v>58</v>
      </c>
      <c r="U63" s="2" t="s">
        <v>58</v>
      </c>
      <c r="V63" s="2"/>
      <c r="W63" s="2" t="s">
        <v>73</v>
      </c>
      <c r="X63" s="2" t="s">
        <v>73</v>
      </c>
      <c r="Y63" s="2" t="s">
        <v>60</v>
      </c>
      <c r="Z63" s="2" t="s">
        <v>60</v>
      </c>
      <c r="AA63" s="2" t="s">
        <v>62</v>
      </c>
      <c r="AB63" s="2" t="s">
        <v>63</v>
      </c>
      <c r="AC63" s="2" t="s">
        <v>74</v>
      </c>
      <c r="AD63" s="2" t="s">
        <v>82</v>
      </c>
      <c r="AE63" s="2" t="s">
        <v>344</v>
      </c>
      <c r="AF63" s="2" t="s">
        <v>63</v>
      </c>
      <c r="AG63" s="7">
        <v>20.0</v>
      </c>
      <c r="AH63" s="2" t="s">
        <v>345</v>
      </c>
      <c r="AI63" s="2" t="s">
        <v>199</v>
      </c>
      <c r="AJ63" s="2" t="s">
        <v>79</v>
      </c>
      <c r="AK63" s="2" t="s">
        <v>346</v>
      </c>
      <c r="AL63" s="2" t="s">
        <v>82</v>
      </c>
      <c r="AM63" s="2" t="s">
        <v>75</v>
      </c>
      <c r="AN63" s="2" t="s">
        <v>82</v>
      </c>
      <c r="AO63" s="7">
        <v>9.0</v>
      </c>
      <c r="AP63" s="7">
        <v>7.0</v>
      </c>
      <c r="AQ63" s="7">
        <v>7.0</v>
      </c>
      <c r="AR63" s="7">
        <v>6.0</v>
      </c>
      <c r="AS63" s="7"/>
      <c r="AT63" s="8"/>
      <c r="AU63" s="8"/>
      <c r="AV63" s="8"/>
      <c r="AW63" s="8"/>
      <c r="AX63" s="8"/>
      <c r="AY63" s="8">
        <v>0.0</v>
      </c>
      <c r="AZ63" s="9">
        <f t="shared" si="4"/>
        <v>7.25</v>
      </c>
    </row>
    <row r="64">
      <c r="A64" s="4">
        <v>42653.69195891204</v>
      </c>
      <c r="B64" s="5">
        <v>35411.0</v>
      </c>
      <c r="C64" s="2" t="s">
        <v>161</v>
      </c>
      <c r="D64" s="2" t="s">
        <v>47</v>
      </c>
      <c r="E64" s="2" t="s">
        <v>319</v>
      </c>
      <c r="F64" s="2" t="s">
        <v>347</v>
      </c>
      <c r="G64" s="2"/>
      <c r="H64" s="2" t="s">
        <v>66</v>
      </c>
      <c r="I64" s="2" t="s">
        <v>51</v>
      </c>
      <c r="J64" s="2" t="s">
        <v>68</v>
      </c>
      <c r="K64" s="2" t="s">
        <v>53</v>
      </c>
      <c r="L64" s="2" t="s">
        <v>54</v>
      </c>
      <c r="M64" s="2" t="s">
        <v>70</v>
      </c>
      <c r="N64" s="2" t="s">
        <v>113</v>
      </c>
      <c r="O64" s="2" t="s">
        <v>97</v>
      </c>
      <c r="P64" s="4">
        <v>28169.69195601852</v>
      </c>
      <c r="Q64" s="5">
        <v>20927.69195601852</v>
      </c>
      <c r="R64" s="2" t="s">
        <v>100</v>
      </c>
      <c r="S64" s="2" t="s">
        <v>100</v>
      </c>
      <c r="T64" s="2" t="s">
        <v>58</v>
      </c>
      <c r="U64" s="2" t="s">
        <v>58</v>
      </c>
      <c r="V64" s="2" t="s">
        <v>348</v>
      </c>
      <c r="W64" s="2" t="s">
        <v>73</v>
      </c>
      <c r="X64" s="2" t="s">
        <v>73</v>
      </c>
      <c r="Y64" s="2" t="s">
        <v>61</v>
      </c>
      <c r="Z64" s="2" t="s">
        <v>61</v>
      </c>
      <c r="AA64" s="2" t="s">
        <v>62</v>
      </c>
      <c r="AB64" s="2" t="s">
        <v>74</v>
      </c>
      <c r="AC64" s="2" t="s">
        <v>74</v>
      </c>
      <c r="AD64" s="2" t="s">
        <v>75</v>
      </c>
      <c r="AE64" s="2" t="s">
        <v>349</v>
      </c>
      <c r="AF64" s="2" t="s">
        <v>63</v>
      </c>
      <c r="AG64" s="7">
        <v>18.0</v>
      </c>
      <c r="AH64" s="2" t="s">
        <v>350</v>
      </c>
      <c r="AI64" s="2" t="s">
        <v>316</v>
      </c>
      <c r="AJ64" s="2" t="s">
        <v>79</v>
      </c>
      <c r="AK64" s="2" t="s">
        <v>186</v>
      </c>
      <c r="AL64" s="2" t="s">
        <v>82</v>
      </c>
      <c r="AM64" s="2" t="s">
        <v>81</v>
      </c>
      <c r="AN64" s="2" t="s">
        <v>82</v>
      </c>
      <c r="AO64" s="7">
        <v>10.0</v>
      </c>
      <c r="AP64" s="7">
        <v>8.0</v>
      </c>
      <c r="AQ64" s="7">
        <v>7.0</v>
      </c>
      <c r="AR64" s="7">
        <v>6.0</v>
      </c>
      <c r="AS64" s="7"/>
      <c r="AT64" s="8"/>
      <c r="AU64" s="8"/>
      <c r="AV64" s="8"/>
      <c r="AW64" s="8"/>
      <c r="AX64" s="8"/>
      <c r="AY64" s="8">
        <v>0.0</v>
      </c>
      <c r="AZ64" s="9">
        <f t="shared" si="4"/>
        <v>7.75</v>
      </c>
    </row>
    <row r="65">
      <c r="A65" s="4">
        <v>42653.6921543287</v>
      </c>
      <c r="B65" s="5">
        <v>35429.0</v>
      </c>
      <c r="C65" s="2" t="s">
        <v>161</v>
      </c>
      <c r="D65" s="2" t="s">
        <v>47</v>
      </c>
      <c r="E65" s="2" t="s">
        <v>351</v>
      </c>
      <c r="F65" s="2" t="s">
        <v>352</v>
      </c>
      <c r="G65" s="2"/>
      <c r="H65" s="2" t="s">
        <v>66</v>
      </c>
      <c r="I65" s="2" t="s">
        <v>51</v>
      </c>
      <c r="J65" s="2" t="s">
        <v>68</v>
      </c>
      <c r="K65" s="2" t="s">
        <v>53</v>
      </c>
      <c r="L65" s="2" t="s">
        <v>84</v>
      </c>
      <c r="M65" s="2" t="s">
        <v>55</v>
      </c>
      <c r="N65" s="2" t="s">
        <v>113</v>
      </c>
      <c r="O65" s="2" t="s">
        <v>97</v>
      </c>
      <c r="P65" s="4">
        <v>28205.692152777778</v>
      </c>
      <c r="Q65" s="5">
        <v>20981.692152777778</v>
      </c>
      <c r="R65" s="2" t="s">
        <v>100</v>
      </c>
      <c r="S65" s="2" t="s">
        <v>57</v>
      </c>
      <c r="T65" s="2" t="s">
        <v>58</v>
      </c>
      <c r="U65" s="2" t="s">
        <v>58</v>
      </c>
      <c r="V65" s="2"/>
      <c r="W65" s="2" t="s">
        <v>73</v>
      </c>
      <c r="X65" s="2" t="s">
        <v>170</v>
      </c>
      <c r="Y65" s="2" t="s">
        <v>60</v>
      </c>
      <c r="Z65" s="2" t="s">
        <v>101</v>
      </c>
      <c r="AA65" s="2" t="s">
        <v>62</v>
      </c>
      <c r="AB65" s="2" t="s">
        <v>63</v>
      </c>
      <c r="AC65" s="2" t="s">
        <v>74</v>
      </c>
      <c r="AD65" s="2" t="s">
        <v>82</v>
      </c>
      <c r="AE65" s="2"/>
      <c r="AF65" s="2" t="s">
        <v>63</v>
      </c>
      <c r="AG65" s="2" t="s">
        <v>251</v>
      </c>
      <c r="AH65" s="2" t="s">
        <v>353</v>
      </c>
      <c r="AI65" s="2" t="s">
        <v>354</v>
      </c>
      <c r="AJ65" s="2" t="s">
        <v>79</v>
      </c>
      <c r="AK65" s="2" t="s">
        <v>301</v>
      </c>
      <c r="AL65" s="2" t="s">
        <v>82</v>
      </c>
      <c r="AM65" s="2" t="s">
        <v>82</v>
      </c>
      <c r="AN65" s="2" t="s">
        <v>82</v>
      </c>
      <c r="AO65" s="7">
        <v>5.0</v>
      </c>
      <c r="AP65" s="7">
        <v>8.0</v>
      </c>
      <c r="AQ65" s="7">
        <v>6.0</v>
      </c>
      <c r="AR65" s="7">
        <v>5.0</v>
      </c>
      <c r="AS65" s="7"/>
      <c r="AT65" s="8"/>
      <c r="AU65" s="8"/>
      <c r="AV65" s="8"/>
      <c r="AW65" s="8"/>
      <c r="AX65" s="8"/>
      <c r="AY65" s="8">
        <v>1.0</v>
      </c>
      <c r="AZ65" s="9">
        <f t="shared" si="4"/>
        <v>6</v>
      </c>
    </row>
    <row r="66">
      <c r="A66" s="4">
        <v>42653.6926934375</v>
      </c>
      <c r="B66" s="5">
        <v>35297.0</v>
      </c>
      <c r="C66" s="2" t="s">
        <v>161</v>
      </c>
      <c r="D66" s="2" t="s">
        <v>47</v>
      </c>
      <c r="E66" s="2" t="s">
        <v>355</v>
      </c>
      <c r="F66" s="2" t="s">
        <v>356</v>
      </c>
      <c r="G66" s="2"/>
      <c r="H66" s="2" t="s">
        <v>120</v>
      </c>
      <c r="I66" s="2" t="s">
        <v>142</v>
      </c>
      <c r="J66" s="2" t="s">
        <v>52</v>
      </c>
      <c r="K66" s="2" t="s">
        <v>143</v>
      </c>
      <c r="L66" s="2" t="s">
        <v>95</v>
      </c>
      <c r="M66" s="2" t="s">
        <v>55</v>
      </c>
      <c r="N66" s="2" t="s">
        <v>113</v>
      </c>
      <c r="O66" s="2" t="s">
        <v>357</v>
      </c>
      <c r="P66" s="4">
        <v>27941.69269675926</v>
      </c>
      <c r="Q66" s="5">
        <v>20585.69269675926</v>
      </c>
      <c r="R66" s="2" t="s">
        <v>73</v>
      </c>
      <c r="S66" s="2" t="s">
        <v>57</v>
      </c>
      <c r="T66" s="2" t="s">
        <v>58</v>
      </c>
      <c r="U66" s="2" t="s">
        <v>58</v>
      </c>
      <c r="V66" s="2"/>
      <c r="W66" s="2" t="s">
        <v>59</v>
      </c>
      <c r="X66" s="2" t="s">
        <v>57</v>
      </c>
      <c r="Y66" s="2" t="s">
        <v>60</v>
      </c>
      <c r="Z66" s="2" t="s">
        <v>60</v>
      </c>
      <c r="AA66" s="2" t="s">
        <v>62</v>
      </c>
      <c r="AB66" s="2" t="s">
        <v>74</v>
      </c>
      <c r="AC66" s="2" t="s">
        <v>74</v>
      </c>
      <c r="AD66" s="2" t="s">
        <v>75</v>
      </c>
      <c r="AE66" s="2" t="s">
        <v>358</v>
      </c>
      <c r="AF66" s="2" t="s">
        <v>63</v>
      </c>
      <c r="AG66" s="7">
        <v>17.0</v>
      </c>
      <c r="AH66" s="2" t="s">
        <v>359</v>
      </c>
      <c r="AI66" s="2" t="s">
        <v>245</v>
      </c>
      <c r="AJ66" s="2" t="s">
        <v>124</v>
      </c>
      <c r="AK66" s="2" t="s">
        <v>360</v>
      </c>
      <c r="AL66" s="2" t="s">
        <v>82</v>
      </c>
      <c r="AM66" s="2" t="s">
        <v>75</v>
      </c>
      <c r="AN66" s="2" t="s">
        <v>82</v>
      </c>
      <c r="AO66" s="7">
        <v>6.0</v>
      </c>
      <c r="AP66" s="7">
        <v>7.0</v>
      </c>
      <c r="AQ66" s="7">
        <v>7.0</v>
      </c>
      <c r="AR66" s="7">
        <v>6.0</v>
      </c>
      <c r="AS66" s="7"/>
      <c r="AT66" s="8"/>
      <c r="AU66" s="8"/>
      <c r="AV66" s="8"/>
      <c r="AW66" s="8"/>
      <c r="AX66" s="8"/>
      <c r="AY66" s="8">
        <v>0.0</v>
      </c>
      <c r="AZ66" s="9">
        <f t="shared" si="4"/>
        <v>6.5</v>
      </c>
    </row>
    <row r="67">
      <c r="A67" s="4">
        <v>42653.69358702547</v>
      </c>
      <c r="B67" s="5">
        <v>42481.0</v>
      </c>
      <c r="C67" s="2" t="s">
        <v>161</v>
      </c>
      <c r="D67" s="2" t="s">
        <v>47</v>
      </c>
      <c r="E67" s="2" t="s">
        <v>48</v>
      </c>
      <c r="F67" s="2"/>
      <c r="G67" s="2"/>
      <c r="H67" s="2" t="s">
        <v>120</v>
      </c>
      <c r="I67" s="2" t="s">
        <v>51</v>
      </c>
      <c r="J67" s="2" t="s">
        <v>111</v>
      </c>
      <c r="K67" s="2" t="s">
        <v>53</v>
      </c>
      <c r="L67" s="2" t="s">
        <v>84</v>
      </c>
      <c r="M67" s="2" t="s">
        <v>55</v>
      </c>
      <c r="N67" s="2" t="s">
        <v>113</v>
      </c>
      <c r="O67" s="2" t="s">
        <v>361</v>
      </c>
      <c r="P67" s="4">
        <v>42309.69358796296</v>
      </c>
      <c r="Q67" s="5">
        <v>42137.69358796296</v>
      </c>
      <c r="R67" s="2" t="s">
        <v>73</v>
      </c>
      <c r="S67" s="2" t="s">
        <v>100</v>
      </c>
      <c r="T67" s="2" t="s">
        <v>57</v>
      </c>
      <c r="U67" s="2" t="s">
        <v>58</v>
      </c>
      <c r="V67" s="2" t="s">
        <v>362</v>
      </c>
      <c r="W67" s="2" t="s">
        <v>100</v>
      </c>
      <c r="X67" s="2" t="s">
        <v>57</v>
      </c>
      <c r="Y67" s="2" t="s">
        <v>61</v>
      </c>
      <c r="Z67" s="2" t="s">
        <v>61</v>
      </c>
      <c r="AA67" s="2" t="s">
        <v>62</v>
      </c>
      <c r="AB67" s="2" t="s">
        <v>63</v>
      </c>
      <c r="AC67" s="2" t="s">
        <v>74</v>
      </c>
      <c r="AD67" s="2" t="s">
        <v>75</v>
      </c>
      <c r="AE67" s="2" t="s">
        <v>363</v>
      </c>
      <c r="AF67" s="2" t="s">
        <v>63</v>
      </c>
      <c r="AG67" s="7">
        <v>14.0</v>
      </c>
      <c r="AH67" s="2" t="s">
        <v>364</v>
      </c>
      <c r="AI67" s="2" t="s">
        <v>365</v>
      </c>
      <c r="AJ67" s="2" t="s">
        <v>79</v>
      </c>
      <c r="AK67" s="2" t="s">
        <v>364</v>
      </c>
      <c r="AL67" s="2" t="s">
        <v>75</v>
      </c>
      <c r="AM67" s="2" t="s">
        <v>75</v>
      </c>
      <c r="AN67" s="2" t="s">
        <v>75</v>
      </c>
      <c r="AO67" s="7">
        <v>5.0</v>
      </c>
      <c r="AP67" s="7">
        <v>6.0</v>
      </c>
      <c r="AQ67" s="7">
        <v>8.0</v>
      </c>
      <c r="AR67" s="7">
        <v>6.0</v>
      </c>
      <c r="AS67" s="7"/>
      <c r="AT67" s="8"/>
      <c r="AU67" s="8"/>
      <c r="AV67" s="8"/>
      <c r="AW67" s="8"/>
      <c r="AX67" s="8"/>
      <c r="AY67" s="8">
        <v>0.0</v>
      </c>
      <c r="AZ67" s="9">
        <f t="shared" si="4"/>
        <v>6.25</v>
      </c>
    </row>
    <row r="68">
      <c r="A68" s="4">
        <v>42653.694846875005</v>
      </c>
      <c r="B68" s="5">
        <v>35472.0</v>
      </c>
      <c r="C68" s="2" t="s">
        <v>161</v>
      </c>
      <c r="D68" s="2" t="s">
        <v>47</v>
      </c>
      <c r="E68" s="2" t="s">
        <v>179</v>
      </c>
      <c r="F68" s="2" t="s">
        <v>366</v>
      </c>
      <c r="G68" s="2"/>
      <c r="H68" s="2" t="s">
        <v>66</v>
      </c>
      <c r="I68" s="2" t="s">
        <v>246</v>
      </c>
      <c r="J68" s="2" t="s">
        <v>68</v>
      </c>
      <c r="K68" s="2" t="s">
        <v>53</v>
      </c>
      <c r="L68" s="2" t="s">
        <v>84</v>
      </c>
      <c r="M68" s="2" t="s">
        <v>70</v>
      </c>
      <c r="N68" s="2" t="s">
        <v>113</v>
      </c>
      <c r="O68" s="2" t="s">
        <v>97</v>
      </c>
      <c r="P68" s="4">
        <v>28291.694849537038</v>
      </c>
      <c r="Q68" s="5">
        <v>21110.694849537038</v>
      </c>
      <c r="R68" s="2" t="s">
        <v>57</v>
      </c>
      <c r="S68" s="2" t="s">
        <v>73</v>
      </c>
      <c r="T68" s="2" t="s">
        <v>58</v>
      </c>
      <c r="U68" s="2" t="s">
        <v>58</v>
      </c>
      <c r="V68" s="2"/>
      <c r="W68" s="2" t="s">
        <v>59</v>
      </c>
      <c r="X68" s="2" t="s">
        <v>170</v>
      </c>
      <c r="Y68" s="2" t="s">
        <v>61</v>
      </c>
      <c r="Z68" s="2" t="s">
        <v>61</v>
      </c>
      <c r="AA68" s="2" t="s">
        <v>62</v>
      </c>
      <c r="AB68" s="2" t="s">
        <v>74</v>
      </c>
      <c r="AC68" s="2" t="s">
        <v>74</v>
      </c>
      <c r="AD68" s="2" t="s">
        <v>81</v>
      </c>
      <c r="AE68" s="2"/>
      <c r="AF68" s="2" t="s">
        <v>63</v>
      </c>
      <c r="AG68" s="2" t="s">
        <v>367</v>
      </c>
      <c r="AH68" s="2" t="s">
        <v>368</v>
      </c>
      <c r="AI68" s="2" t="s">
        <v>369</v>
      </c>
      <c r="AJ68" s="2" t="s">
        <v>79</v>
      </c>
      <c r="AK68" s="2" t="s">
        <v>346</v>
      </c>
      <c r="AL68" s="2" t="s">
        <v>75</v>
      </c>
      <c r="AM68" s="2" t="s">
        <v>75</v>
      </c>
      <c r="AN68" s="2" t="s">
        <v>75</v>
      </c>
      <c r="AO68" s="7">
        <v>8.0</v>
      </c>
      <c r="AP68" s="7">
        <v>8.0</v>
      </c>
      <c r="AQ68" s="7">
        <v>4.0</v>
      </c>
      <c r="AR68" s="7">
        <v>4.0</v>
      </c>
      <c r="AS68" s="7"/>
      <c r="AT68" s="8"/>
      <c r="AU68" s="8"/>
      <c r="AV68" s="8"/>
      <c r="AW68" s="8"/>
      <c r="AX68" s="8"/>
      <c r="AY68" s="8">
        <v>2.0</v>
      </c>
      <c r="AZ68" s="9">
        <f t="shared" si="4"/>
        <v>6</v>
      </c>
    </row>
    <row r="69">
      <c r="A69" s="4">
        <v>42653.695535694445</v>
      </c>
      <c r="B69" s="2"/>
      <c r="C69" s="2" t="s">
        <v>161</v>
      </c>
      <c r="D69" s="2" t="s">
        <v>47</v>
      </c>
      <c r="E69" s="2" t="s">
        <v>48</v>
      </c>
      <c r="F69" s="2" t="s">
        <v>370</v>
      </c>
      <c r="G69" s="2"/>
      <c r="H69" s="2" t="s">
        <v>66</v>
      </c>
      <c r="I69" s="2" t="s">
        <v>51</v>
      </c>
      <c r="J69" s="2" t="s">
        <v>111</v>
      </c>
      <c r="K69" s="2" t="s">
        <v>53</v>
      </c>
      <c r="L69" s="2" t="s">
        <v>69</v>
      </c>
      <c r="M69" s="2" t="s">
        <v>85</v>
      </c>
      <c r="N69" s="2" t="s">
        <v>113</v>
      </c>
      <c r="O69" s="2" t="s">
        <v>168</v>
      </c>
      <c r="P69" s="4">
        <v>42654.69553240741</v>
      </c>
      <c r="Q69" s="2"/>
      <c r="R69" s="2" t="s">
        <v>73</v>
      </c>
      <c r="S69" s="2" t="s">
        <v>73</v>
      </c>
      <c r="T69" s="2" t="s">
        <v>58</v>
      </c>
      <c r="U69" s="2" t="s">
        <v>58</v>
      </c>
      <c r="V69" s="2"/>
      <c r="W69" s="2" t="s">
        <v>59</v>
      </c>
      <c r="X69" s="2" t="s">
        <v>57</v>
      </c>
      <c r="Y69" s="2" t="s">
        <v>60</v>
      </c>
      <c r="Z69" s="2" t="s">
        <v>60</v>
      </c>
      <c r="AA69" s="2" t="s">
        <v>62</v>
      </c>
      <c r="AB69" s="2" t="s">
        <v>63</v>
      </c>
      <c r="AC69" s="2" t="s">
        <v>74</v>
      </c>
      <c r="AD69" s="2" t="s">
        <v>75</v>
      </c>
      <c r="AE69" s="2"/>
      <c r="AF69" s="2" t="s">
        <v>63</v>
      </c>
      <c r="AG69" s="2" t="s">
        <v>371</v>
      </c>
      <c r="AH69" s="2" t="s">
        <v>316</v>
      </c>
      <c r="AI69" s="2" t="s">
        <v>172</v>
      </c>
      <c r="AJ69" s="2" t="s">
        <v>79</v>
      </c>
      <c r="AK69" s="2" t="s">
        <v>290</v>
      </c>
      <c r="AL69" s="2" t="s">
        <v>82</v>
      </c>
      <c r="AM69" s="2" t="s">
        <v>82</v>
      </c>
      <c r="AN69" s="2" t="s">
        <v>82</v>
      </c>
      <c r="AO69" s="7">
        <v>8.0</v>
      </c>
      <c r="AP69" s="7">
        <v>7.0</v>
      </c>
      <c r="AQ69" s="7">
        <v>8.0</v>
      </c>
      <c r="AR69" s="7">
        <v>6.0</v>
      </c>
      <c r="AS69" s="7"/>
      <c r="AT69" s="8"/>
      <c r="AU69" s="8"/>
      <c r="AV69" s="8"/>
      <c r="AW69" s="8"/>
      <c r="AX69" s="8"/>
      <c r="AY69" s="8">
        <v>0.0</v>
      </c>
      <c r="AZ69" s="9">
        <f t="shared" si="4"/>
        <v>7.25</v>
      </c>
    </row>
    <row r="70">
      <c r="A70" s="4">
        <v>42653.72155619213</v>
      </c>
      <c r="B70" s="5">
        <v>35053.0</v>
      </c>
      <c r="C70" s="2" t="s">
        <v>161</v>
      </c>
      <c r="D70" s="2" t="s">
        <v>47</v>
      </c>
      <c r="E70" s="2" t="s">
        <v>48</v>
      </c>
      <c r="F70" s="2" t="s">
        <v>372</v>
      </c>
      <c r="G70" s="2"/>
      <c r="H70" s="2" t="s">
        <v>66</v>
      </c>
      <c r="I70" s="2" t="s">
        <v>51</v>
      </c>
      <c r="J70" s="2" t="s">
        <v>111</v>
      </c>
      <c r="K70" s="2" t="s">
        <v>53</v>
      </c>
      <c r="L70" s="2" t="s">
        <v>84</v>
      </c>
      <c r="M70" s="2" t="s">
        <v>55</v>
      </c>
      <c r="N70" s="2" t="s">
        <v>113</v>
      </c>
      <c r="O70" s="2" t="s">
        <v>97</v>
      </c>
      <c r="P70" s="4">
        <v>27453.721550925926</v>
      </c>
      <c r="Q70" s="5">
        <v>19853.721550925926</v>
      </c>
      <c r="R70" s="2" t="s">
        <v>73</v>
      </c>
      <c r="S70" s="2" t="s">
        <v>57</v>
      </c>
      <c r="T70" s="2" t="s">
        <v>58</v>
      </c>
      <c r="U70" s="2" t="s">
        <v>58</v>
      </c>
      <c r="V70" s="2"/>
      <c r="W70" s="2" t="s">
        <v>59</v>
      </c>
      <c r="X70" s="2" t="s">
        <v>57</v>
      </c>
      <c r="Y70" s="2" t="s">
        <v>61</v>
      </c>
      <c r="Z70" s="2" t="s">
        <v>61</v>
      </c>
      <c r="AA70" s="2" t="s">
        <v>62</v>
      </c>
      <c r="AB70" s="2" t="s">
        <v>63</v>
      </c>
      <c r="AC70" s="2" t="s">
        <v>74</v>
      </c>
      <c r="AD70" s="2" t="s">
        <v>75</v>
      </c>
      <c r="AE70" s="2"/>
      <c r="AF70" s="2" t="s">
        <v>63</v>
      </c>
      <c r="AG70" s="7">
        <v>17.0</v>
      </c>
      <c r="AH70" s="2" t="s">
        <v>116</v>
      </c>
      <c r="AI70" s="2" t="s">
        <v>109</v>
      </c>
      <c r="AJ70" s="2" t="s">
        <v>79</v>
      </c>
      <c r="AK70" s="2" t="s">
        <v>116</v>
      </c>
      <c r="AL70" s="2" t="s">
        <v>82</v>
      </c>
      <c r="AM70" s="2" t="s">
        <v>75</v>
      </c>
      <c r="AN70" s="2" t="s">
        <v>82</v>
      </c>
      <c r="AO70" s="7">
        <v>8.0</v>
      </c>
      <c r="AP70" s="7">
        <v>7.0</v>
      </c>
      <c r="AQ70" s="7">
        <v>9.0</v>
      </c>
      <c r="AR70" s="7">
        <v>7.0</v>
      </c>
      <c r="AS70" s="7"/>
      <c r="AT70" s="8"/>
      <c r="AU70" s="8"/>
      <c r="AV70" s="8"/>
      <c r="AW70" s="8"/>
      <c r="AX70" s="8"/>
      <c r="AY70" s="8">
        <v>0.0</v>
      </c>
      <c r="AZ70" s="9">
        <f t="shared" si="4"/>
        <v>7.75</v>
      </c>
    </row>
    <row r="71">
      <c r="A71" s="4">
        <v>42653.72469935185</v>
      </c>
      <c r="B71" s="5">
        <v>35424.0</v>
      </c>
      <c r="C71" s="2" t="s">
        <v>161</v>
      </c>
      <c r="D71" s="2" t="s">
        <v>47</v>
      </c>
      <c r="E71" s="2" t="s">
        <v>291</v>
      </c>
      <c r="F71" s="2" t="s">
        <v>373</v>
      </c>
      <c r="G71" s="2"/>
      <c r="H71" s="2" t="s">
        <v>66</v>
      </c>
      <c r="I71" s="2" t="s">
        <v>51</v>
      </c>
      <c r="J71" s="2" t="s">
        <v>52</v>
      </c>
      <c r="K71" s="2" t="s">
        <v>53</v>
      </c>
      <c r="L71" s="2" t="s">
        <v>69</v>
      </c>
      <c r="M71" s="2" t="s">
        <v>70</v>
      </c>
      <c r="N71" s="2" t="s">
        <v>96</v>
      </c>
      <c r="O71" s="2" t="s">
        <v>97</v>
      </c>
      <c r="P71" s="4">
        <v>28195.724699074075</v>
      </c>
      <c r="Q71" s="5">
        <v>20966.724699074075</v>
      </c>
      <c r="R71" s="2" t="s">
        <v>73</v>
      </c>
      <c r="S71" s="2" t="s">
        <v>57</v>
      </c>
      <c r="T71" s="2" t="s">
        <v>58</v>
      </c>
      <c r="U71" s="2" t="s">
        <v>58</v>
      </c>
      <c r="V71" s="2"/>
      <c r="W71" s="2" t="s">
        <v>59</v>
      </c>
      <c r="X71" s="2" t="s">
        <v>57</v>
      </c>
      <c r="Y71" s="2" t="s">
        <v>61</v>
      </c>
      <c r="Z71" s="2" t="s">
        <v>61</v>
      </c>
      <c r="AA71" s="2" t="s">
        <v>62</v>
      </c>
      <c r="AB71" s="2" t="s">
        <v>74</v>
      </c>
      <c r="AC71" s="2" t="s">
        <v>63</v>
      </c>
      <c r="AD71" s="2" t="s">
        <v>75</v>
      </c>
      <c r="AE71" s="2" t="s">
        <v>374</v>
      </c>
      <c r="AF71" s="2" t="s">
        <v>63</v>
      </c>
      <c r="AG71" s="7">
        <v>100.0</v>
      </c>
      <c r="AH71" s="2" t="s">
        <v>375</v>
      </c>
      <c r="AI71" s="2" t="s">
        <v>104</v>
      </c>
      <c r="AJ71" s="2" t="s">
        <v>79</v>
      </c>
      <c r="AK71" s="2" t="s">
        <v>376</v>
      </c>
      <c r="AL71" s="2" t="s">
        <v>82</v>
      </c>
      <c r="AM71" s="2" t="s">
        <v>82</v>
      </c>
      <c r="AN71" s="2" t="s">
        <v>82</v>
      </c>
      <c r="AO71" s="7">
        <v>9.0</v>
      </c>
      <c r="AP71" s="7">
        <v>8.0</v>
      </c>
      <c r="AQ71" s="7">
        <v>7.0</v>
      </c>
      <c r="AR71" s="7">
        <v>7.0</v>
      </c>
      <c r="AS71" s="7"/>
      <c r="AT71" s="8"/>
      <c r="AU71" s="8"/>
      <c r="AV71" s="8"/>
      <c r="AW71" s="8"/>
      <c r="AX71" s="8"/>
      <c r="AY71" s="8">
        <v>0.0</v>
      </c>
      <c r="AZ71" s="9">
        <f t="shared" si="4"/>
        <v>7.75</v>
      </c>
    </row>
    <row r="72">
      <c r="A72" s="4">
        <v>42653.7254029051</v>
      </c>
      <c r="B72" s="5">
        <v>35131.0</v>
      </c>
      <c r="C72" s="2" t="s">
        <v>161</v>
      </c>
      <c r="D72" s="2" t="s">
        <v>47</v>
      </c>
      <c r="E72" s="2" t="s">
        <v>48</v>
      </c>
      <c r="F72" s="2" t="s">
        <v>377</v>
      </c>
      <c r="G72" s="2"/>
      <c r="H72" s="2" t="s">
        <v>66</v>
      </c>
      <c r="I72" s="2" t="s">
        <v>51</v>
      </c>
      <c r="J72" s="2" t="s">
        <v>52</v>
      </c>
      <c r="K72" s="2" t="s">
        <v>53</v>
      </c>
      <c r="L72" s="2" t="s">
        <v>95</v>
      </c>
      <c r="M72" s="2" t="s">
        <v>189</v>
      </c>
      <c r="N72" s="2" t="s">
        <v>96</v>
      </c>
      <c r="O72" s="2" t="s">
        <v>97</v>
      </c>
      <c r="P72" s="4">
        <v>27609.72540509259</v>
      </c>
      <c r="Q72" s="5">
        <v>20087.72540509259</v>
      </c>
      <c r="R72" s="2"/>
      <c r="S72" s="2" t="s">
        <v>73</v>
      </c>
      <c r="T72" s="2" t="s">
        <v>58</v>
      </c>
      <c r="U72" s="2" t="s">
        <v>58</v>
      </c>
      <c r="V72" s="2"/>
      <c r="W72" s="2" t="s">
        <v>57</v>
      </c>
      <c r="X72" s="2" t="s">
        <v>57</v>
      </c>
      <c r="Y72" s="2" t="s">
        <v>60</v>
      </c>
      <c r="Z72" s="2" t="s">
        <v>101</v>
      </c>
      <c r="AA72" s="2"/>
      <c r="AB72" s="2" t="s">
        <v>63</v>
      </c>
      <c r="AC72" s="2" t="s">
        <v>63</v>
      </c>
      <c r="AD72" s="2" t="s">
        <v>82</v>
      </c>
      <c r="AE72" s="2"/>
      <c r="AF72" s="2" t="s">
        <v>63</v>
      </c>
      <c r="AG72" s="7">
        <v>18.0</v>
      </c>
      <c r="AH72" s="7">
        <v>9.25</v>
      </c>
      <c r="AI72" s="7">
        <v>9.85</v>
      </c>
      <c r="AJ72" s="2" t="s">
        <v>79</v>
      </c>
      <c r="AK72" s="7">
        <v>7.9</v>
      </c>
      <c r="AL72" s="2" t="s">
        <v>82</v>
      </c>
      <c r="AM72" s="2" t="s">
        <v>82</v>
      </c>
      <c r="AN72" s="2" t="s">
        <v>82</v>
      </c>
      <c r="AO72" s="7">
        <v>8.0</v>
      </c>
      <c r="AP72" s="7">
        <v>8.0</v>
      </c>
      <c r="AQ72" s="7">
        <v>9.0</v>
      </c>
      <c r="AR72" s="7">
        <v>8.0</v>
      </c>
      <c r="AS72" s="7"/>
      <c r="AT72" s="8"/>
      <c r="AU72" s="8"/>
      <c r="AV72" s="8"/>
      <c r="AW72" s="8"/>
      <c r="AX72" s="8"/>
      <c r="AY72" s="8">
        <v>0.0</v>
      </c>
      <c r="AZ72" s="9">
        <f t="shared" si="4"/>
        <v>8.25</v>
      </c>
    </row>
    <row r="73">
      <c r="A73" s="4">
        <v>42653.72581092593</v>
      </c>
      <c r="B73" s="2"/>
      <c r="C73" s="2" t="s">
        <v>161</v>
      </c>
      <c r="D73" s="2" t="s">
        <v>47</v>
      </c>
      <c r="E73" s="2" t="s">
        <v>106</v>
      </c>
      <c r="F73" s="2" t="s">
        <v>378</v>
      </c>
      <c r="G73" s="2"/>
      <c r="H73" s="2" t="s">
        <v>120</v>
      </c>
      <c r="I73" s="2" t="s">
        <v>51</v>
      </c>
      <c r="J73" s="2" t="s">
        <v>68</v>
      </c>
      <c r="K73" s="2" t="s">
        <v>53</v>
      </c>
      <c r="L73" s="2" t="s">
        <v>69</v>
      </c>
      <c r="M73" s="2" t="s">
        <v>70</v>
      </c>
      <c r="N73" s="2" t="s">
        <v>113</v>
      </c>
      <c r="O73" s="2" t="s">
        <v>97</v>
      </c>
      <c r="P73" s="4">
        <v>42654.725810185184</v>
      </c>
      <c r="Q73" s="2"/>
      <c r="R73" s="2" t="s">
        <v>98</v>
      </c>
      <c r="S73" s="2" t="s">
        <v>100</v>
      </c>
      <c r="T73" s="2" t="s">
        <v>58</v>
      </c>
      <c r="U73" s="2" t="s">
        <v>58</v>
      </c>
      <c r="V73" s="2" t="s">
        <v>379</v>
      </c>
      <c r="W73" s="2" t="s">
        <v>98</v>
      </c>
      <c r="X73" s="2" t="s">
        <v>170</v>
      </c>
      <c r="Y73" s="2"/>
      <c r="Z73" s="2" t="s">
        <v>61</v>
      </c>
      <c r="AA73" s="2" t="s">
        <v>62</v>
      </c>
      <c r="AB73" s="2" t="s">
        <v>74</v>
      </c>
      <c r="AC73" s="2" t="s">
        <v>74</v>
      </c>
      <c r="AD73" s="2" t="s">
        <v>75</v>
      </c>
      <c r="AE73" s="2"/>
      <c r="AF73" s="2" t="s">
        <v>63</v>
      </c>
      <c r="AG73" s="2" t="s">
        <v>380</v>
      </c>
      <c r="AH73" s="2" t="s">
        <v>381</v>
      </c>
      <c r="AI73" s="2" t="s">
        <v>91</v>
      </c>
      <c r="AJ73" s="2" t="s">
        <v>124</v>
      </c>
      <c r="AK73" s="2" t="s">
        <v>130</v>
      </c>
      <c r="AL73" s="2" t="s">
        <v>82</v>
      </c>
      <c r="AM73" s="2" t="s">
        <v>82</v>
      </c>
      <c r="AN73" s="2" t="s">
        <v>75</v>
      </c>
      <c r="AO73" s="7">
        <v>5.0</v>
      </c>
      <c r="AP73" s="7">
        <v>5.0</v>
      </c>
      <c r="AQ73" s="7">
        <v>6.0</v>
      </c>
      <c r="AR73" s="2"/>
      <c r="AS73" s="7"/>
      <c r="AT73" s="8"/>
      <c r="AU73" s="8"/>
      <c r="AV73" s="8"/>
      <c r="AW73" s="8"/>
      <c r="AX73" s="8"/>
      <c r="AY73" s="8">
        <v>1.0</v>
      </c>
      <c r="AZ73" s="9">
        <f t="shared" si="4"/>
        <v>5.333333333</v>
      </c>
    </row>
    <row r="74">
      <c r="A74" s="4">
        <v>42653.725898668985</v>
      </c>
      <c r="B74" s="5">
        <v>35251.0</v>
      </c>
      <c r="C74" s="2" t="s">
        <v>161</v>
      </c>
      <c r="D74" s="2" t="s">
        <v>47</v>
      </c>
      <c r="E74" s="2" t="s">
        <v>291</v>
      </c>
      <c r="F74" s="2" t="s">
        <v>382</v>
      </c>
      <c r="G74" s="2"/>
      <c r="H74" s="2" t="s">
        <v>120</v>
      </c>
      <c r="I74" s="2" t="s">
        <v>142</v>
      </c>
      <c r="J74" s="2" t="s">
        <v>52</v>
      </c>
      <c r="K74" s="2" t="s">
        <v>143</v>
      </c>
      <c r="L74" s="2" t="s">
        <v>95</v>
      </c>
      <c r="M74" s="2" t="s">
        <v>189</v>
      </c>
      <c r="N74" s="2" t="s">
        <v>96</v>
      </c>
      <c r="O74" s="2" t="s">
        <v>72</v>
      </c>
      <c r="P74" s="4">
        <v>27849.725902777776</v>
      </c>
      <c r="Q74" s="5">
        <v>20447.725902777776</v>
      </c>
      <c r="R74" s="2" t="s">
        <v>73</v>
      </c>
      <c r="S74" s="2" t="s">
        <v>73</v>
      </c>
      <c r="T74" s="2" t="s">
        <v>58</v>
      </c>
      <c r="U74" s="2" t="s">
        <v>58</v>
      </c>
      <c r="V74" s="2" t="s">
        <v>383</v>
      </c>
      <c r="W74" s="2" t="s">
        <v>59</v>
      </c>
      <c r="X74" s="2" t="s">
        <v>170</v>
      </c>
      <c r="Y74" s="2" t="s">
        <v>61</v>
      </c>
      <c r="Z74" s="2" t="s">
        <v>101</v>
      </c>
      <c r="AA74" s="2" t="s">
        <v>62</v>
      </c>
      <c r="AB74" s="2" t="s">
        <v>63</v>
      </c>
      <c r="AC74" s="2" t="s">
        <v>74</v>
      </c>
      <c r="AD74" s="2" t="s">
        <v>82</v>
      </c>
      <c r="AE74" s="2"/>
      <c r="AF74" s="2" t="s">
        <v>63</v>
      </c>
      <c r="AG74" s="7">
        <v>71.0</v>
      </c>
      <c r="AH74" s="2" t="s">
        <v>384</v>
      </c>
      <c r="AI74" s="7">
        <v>7.0</v>
      </c>
      <c r="AJ74" s="2" t="s">
        <v>124</v>
      </c>
      <c r="AK74" s="7">
        <v>8.0</v>
      </c>
      <c r="AL74" s="2" t="s">
        <v>75</v>
      </c>
      <c r="AM74" s="2" t="s">
        <v>75</v>
      </c>
      <c r="AN74" s="2" t="s">
        <v>75</v>
      </c>
      <c r="AO74" s="7">
        <v>4.0</v>
      </c>
      <c r="AP74" s="2"/>
      <c r="AQ74" s="7">
        <v>4.0</v>
      </c>
      <c r="AR74" s="2"/>
      <c r="AS74" s="7"/>
      <c r="AT74" s="8"/>
      <c r="AU74" s="8"/>
      <c r="AV74" s="8"/>
      <c r="AW74" s="8"/>
      <c r="AX74" s="8"/>
      <c r="AY74" s="8">
        <v>4.0</v>
      </c>
      <c r="AZ74" s="9">
        <f t="shared" si="4"/>
        <v>4</v>
      </c>
    </row>
    <row r="75">
      <c r="A75" s="4">
        <v>42653.72629265046</v>
      </c>
      <c r="B75" s="5">
        <v>35044.0</v>
      </c>
      <c r="C75" s="2" t="s">
        <v>161</v>
      </c>
      <c r="D75" s="2" t="s">
        <v>47</v>
      </c>
      <c r="E75" s="2" t="s">
        <v>385</v>
      </c>
      <c r="F75" s="2" t="s">
        <v>386</v>
      </c>
      <c r="G75" s="2"/>
      <c r="H75" s="2" t="s">
        <v>66</v>
      </c>
      <c r="I75" s="2" t="s">
        <v>51</v>
      </c>
      <c r="J75" s="2" t="s">
        <v>68</v>
      </c>
      <c r="K75" s="2" t="s">
        <v>53</v>
      </c>
      <c r="L75" s="2" t="s">
        <v>84</v>
      </c>
      <c r="M75" s="2" t="s">
        <v>85</v>
      </c>
      <c r="N75" s="2" t="s">
        <v>86</v>
      </c>
      <c r="O75" s="2" t="s">
        <v>97</v>
      </c>
      <c r="P75" s="4">
        <v>27435.726296296296</v>
      </c>
      <c r="Q75" s="5">
        <v>19826.726296296296</v>
      </c>
      <c r="R75" s="2" t="s">
        <v>73</v>
      </c>
      <c r="S75" s="2" t="s">
        <v>73</v>
      </c>
      <c r="T75" s="2" t="s">
        <v>58</v>
      </c>
      <c r="U75" s="2" t="s">
        <v>58</v>
      </c>
      <c r="V75" s="2" t="s">
        <v>387</v>
      </c>
      <c r="W75" s="2" t="s">
        <v>59</v>
      </c>
      <c r="X75" s="2" t="s">
        <v>57</v>
      </c>
      <c r="Y75" s="2" t="s">
        <v>60</v>
      </c>
      <c r="Z75" s="2" t="s">
        <v>61</v>
      </c>
      <c r="AA75" s="2" t="s">
        <v>62</v>
      </c>
      <c r="AB75" s="2" t="s">
        <v>74</v>
      </c>
      <c r="AC75" s="2" t="s">
        <v>74</v>
      </c>
      <c r="AD75" s="2" t="s">
        <v>82</v>
      </c>
      <c r="AE75" s="2" t="s">
        <v>388</v>
      </c>
      <c r="AF75" s="2" t="s">
        <v>63</v>
      </c>
      <c r="AG75" s="7">
        <v>15.0</v>
      </c>
      <c r="AH75" s="7">
        <v>7.83</v>
      </c>
      <c r="AI75" s="7">
        <v>6.5</v>
      </c>
      <c r="AJ75" s="2" t="s">
        <v>79</v>
      </c>
      <c r="AK75" s="2" t="s">
        <v>135</v>
      </c>
      <c r="AL75" s="2" t="s">
        <v>82</v>
      </c>
      <c r="AM75" s="2" t="s">
        <v>75</v>
      </c>
      <c r="AN75" s="2" t="s">
        <v>82</v>
      </c>
      <c r="AO75" s="2"/>
      <c r="AP75" s="2"/>
      <c r="AQ75" s="2"/>
      <c r="AR75" s="2"/>
      <c r="AS75" s="7"/>
      <c r="AT75" s="8"/>
      <c r="AU75" s="8"/>
      <c r="AV75" s="8"/>
      <c r="AW75" s="8"/>
      <c r="AX75" s="8"/>
      <c r="AY75" s="8">
        <v>1.0</v>
      </c>
      <c r="AZ75" s="9"/>
    </row>
    <row r="76">
      <c r="A76" s="4">
        <v>42653.72708412037</v>
      </c>
      <c r="B76" s="5">
        <v>42424.0</v>
      </c>
      <c r="C76" s="2" t="s">
        <v>161</v>
      </c>
      <c r="D76" s="2" t="s">
        <v>47</v>
      </c>
      <c r="E76" s="2" t="s">
        <v>48</v>
      </c>
      <c r="F76" s="2"/>
      <c r="G76" s="2"/>
      <c r="H76" s="2" t="s">
        <v>120</v>
      </c>
      <c r="I76" s="2" t="s">
        <v>128</v>
      </c>
      <c r="J76" s="2" t="s">
        <v>52</v>
      </c>
      <c r="K76" s="2" t="s">
        <v>143</v>
      </c>
      <c r="L76" s="2" t="s">
        <v>95</v>
      </c>
      <c r="M76" s="2" t="s">
        <v>55</v>
      </c>
      <c r="N76" s="2" t="s">
        <v>113</v>
      </c>
      <c r="O76" s="2" t="s">
        <v>97</v>
      </c>
      <c r="P76" s="4">
        <v>42195.72708333333</v>
      </c>
      <c r="Q76" s="5">
        <v>41966.72708333333</v>
      </c>
      <c r="R76" s="2" t="s">
        <v>159</v>
      </c>
      <c r="S76" s="2" t="s">
        <v>100</v>
      </c>
      <c r="T76" s="2" t="s">
        <v>58</v>
      </c>
      <c r="U76" s="2" t="s">
        <v>58</v>
      </c>
      <c r="V76" s="2"/>
      <c r="W76" s="2" t="s">
        <v>59</v>
      </c>
      <c r="X76" s="2" t="s">
        <v>170</v>
      </c>
      <c r="Y76" s="2" t="s">
        <v>60</v>
      </c>
      <c r="Z76" s="2" t="s">
        <v>101</v>
      </c>
      <c r="AA76" s="2" t="s">
        <v>62</v>
      </c>
      <c r="AB76" s="2" t="s">
        <v>74</v>
      </c>
      <c r="AC76" s="2" t="s">
        <v>74</v>
      </c>
      <c r="AD76" s="2" t="s">
        <v>82</v>
      </c>
      <c r="AE76" s="2" t="s">
        <v>389</v>
      </c>
      <c r="AF76" s="2" t="s">
        <v>63</v>
      </c>
      <c r="AG76" s="7">
        <v>18.0</v>
      </c>
      <c r="AH76" s="7">
        <v>9.46</v>
      </c>
      <c r="AI76" s="7">
        <v>9.3</v>
      </c>
      <c r="AJ76" s="2" t="s">
        <v>124</v>
      </c>
      <c r="AK76" s="7">
        <v>9.1</v>
      </c>
      <c r="AL76" s="2" t="s">
        <v>82</v>
      </c>
      <c r="AM76" s="2" t="s">
        <v>75</v>
      </c>
      <c r="AN76" s="2" t="s">
        <v>82</v>
      </c>
      <c r="AO76" s="7">
        <v>6.0</v>
      </c>
      <c r="AP76" s="7">
        <v>6.0</v>
      </c>
      <c r="AQ76" s="7">
        <v>8.0</v>
      </c>
      <c r="AR76" s="7">
        <v>6.0</v>
      </c>
      <c r="AS76" s="7"/>
      <c r="AT76" s="8"/>
      <c r="AU76" s="8"/>
      <c r="AV76" s="8"/>
      <c r="AW76" s="8"/>
      <c r="AX76" s="8"/>
      <c r="AY76" s="8">
        <v>0.0</v>
      </c>
      <c r="AZ76" s="9">
        <f t="shared" ref="AZ76:AZ79" si="5">AVERAGE(AO76:AR76)</f>
        <v>6.5</v>
      </c>
    </row>
    <row r="77">
      <c r="A77" s="4">
        <v>42653.72712944444</v>
      </c>
      <c r="B77" s="5">
        <v>35203.0</v>
      </c>
      <c r="C77" s="2" t="s">
        <v>161</v>
      </c>
      <c r="D77" s="2" t="s">
        <v>47</v>
      </c>
      <c r="E77" s="2" t="s">
        <v>48</v>
      </c>
      <c r="F77" s="2" t="s">
        <v>390</v>
      </c>
      <c r="G77" s="2"/>
      <c r="H77" s="2" t="s">
        <v>66</v>
      </c>
      <c r="I77" s="2" t="s">
        <v>142</v>
      </c>
      <c r="J77" s="2" t="s">
        <v>68</v>
      </c>
      <c r="K77" s="2" t="s">
        <v>53</v>
      </c>
      <c r="L77" s="2" t="s">
        <v>54</v>
      </c>
      <c r="M77" s="2" t="s">
        <v>85</v>
      </c>
      <c r="N77" s="2" t="s">
        <v>113</v>
      </c>
      <c r="O77" s="2" t="s">
        <v>72</v>
      </c>
      <c r="P77" s="4">
        <v>27753.72712962963</v>
      </c>
      <c r="Q77" s="5">
        <v>20303.72712962963</v>
      </c>
      <c r="R77" s="2" t="s">
        <v>57</v>
      </c>
      <c r="S77" s="2" t="s">
        <v>73</v>
      </c>
      <c r="T77" s="2" t="s">
        <v>58</v>
      </c>
      <c r="U77" s="2" t="s">
        <v>58</v>
      </c>
      <c r="V77" s="2"/>
      <c r="W77" s="2" t="s">
        <v>100</v>
      </c>
      <c r="X77" s="2" t="s">
        <v>170</v>
      </c>
      <c r="Y77" s="2" t="s">
        <v>61</v>
      </c>
      <c r="Z77" s="2" t="s">
        <v>61</v>
      </c>
      <c r="AA77" s="2" t="s">
        <v>62</v>
      </c>
      <c r="AB77" s="2" t="s">
        <v>74</v>
      </c>
      <c r="AC77" s="2" t="s">
        <v>74</v>
      </c>
      <c r="AD77" s="2" t="s">
        <v>75</v>
      </c>
      <c r="AE77" s="2" t="s">
        <v>391</v>
      </c>
      <c r="AF77" s="2" t="s">
        <v>63</v>
      </c>
      <c r="AG77" s="2" t="s">
        <v>392</v>
      </c>
      <c r="AH77" s="12">
        <v>848333.0</v>
      </c>
      <c r="AI77" s="2" t="s">
        <v>393</v>
      </c>
      <c r="AJ77" s="2" t="s">
        <v>79</v>
      </c>
      <c r="AK77" s="2" t="s">
        <v>394</v>
      </c>
      <c r="AL77" s="2" t="s">
        <v>82</v>
      </c>
      <c r="AM77" s="2" t="s">
        <v>75</v>
      </c>
      <c r="AN77" s="2" t="s">
        <v>75</v>
      </c>
      <c r="AO77" s="7">
        <v>8.0</v>
      </c>
      <c r="AP77" s="7">
        <v>8.0</v>
      </c>
      <c r="AQ77" s="7">
        <v>7.0</v>
      </c>
      <c r="AR77" s="7">
        <v>8.0</v>
      </c>
      <c r="AS77" s="7"/>
      <c r="AT77" s="8"/>
      <c r="AU77" s="8"/>
      <c r="AV77" s="8"/>
      <c r="AW77" s="8"/>
      <c r="AX77" s="8"/>
      <c r="AY77" s="8">
        <v>2.0</v>
      </c>
      <c r="AZ77" s="9">
        <f t="shared" si="5"/>
        <v>7.75</v>
      </c>
    </row>
    <row r="78">
      <c r="A78" s="4">
        <v>42653.72714592592</v>
      </c>
      <c r="B78" s="5">
        <v>35285.0</v>
      </c>
      <c r="C78" s="2" t="s">
        <v>161</v>
      </c>
      <c r="D78" s="2" t="s">
        <v>47</v>
      </c>
      <c r="E78" s="2" t="s">
        <v>187</v>
      </c>
      <c r="F78" s="2" t="s">
        <v>188</v>
      </c>
      <c r="G78" s="2"/>
      <c r="H78" s="2" t="s">
        <v>66</v>
      </c>
      <c r="I78" s="2" t="s">
        <v>51</v>
      </c>
      <c r="J78" s="2" t="s">
        <v>68</v>
      </c>
      <c r="K78" s="2" t="s">
        <v>143</v>
      </c>
      <c r="L78" s="2" t="s">
        <v>84</v>
      </c>
      <c r="M78" s="2" t="s">
        <v>70</v>
      </c>
      <c r="N78" s="2" t="s">
        <v>113</v>
      </c>
      <c r="O78" s="2" t="s">
        <v>395</v>
      </c>
      <c r="P78" s="4">
        <v>27917.727141203704</v>
      </c>
      <c r="Q78" s="5">
        <v>20549.727141203704</v>
      </c>
      <c r="R78" s="2" t="s">
        <v>73</v>
      </c>
      <c r="S78" s="2" t="s">
        <v>73</v>
      </c>
      <c r="T78" s="2" t="s">
        <v>58</v>
      </c>
      <c r="U78" s="2" t="s">
        <v>58</v>
      </c>
      <c r="V78" s="2" t="s">
        <v>396</v>
      </c>
      <c r="W78" s="2" t="s">
        <v>59</v>
      </c>
      <c r="X78" s="2" t="s">
        <v>170</v>
      </c>
      <c r="Y78" s="2" t="s">
        <v>60</v>
      </c>
      <c r="Z78" s="2" t="s">
        <v>101</v>
      </c>
      <c r="AA78" s="2" t="s">
        <v>62</v>
      </c>
      <c r="AB78" s="2" t="s">
        <v>63</v>
      </c>
      <c r="AC78" s="2" t="s">
        <v>74</v>
      </c>
      <c r="AD78" s="2" t="s">
        <v>81</v>
      </c>
      <c r="AE78" s="2" t="s">
        <v>397</v>
      </c>
      <c r="AF78" s="2" t="s">
        <v>63</v>
      </c>
      <c r="AG78" s="2" t="s">
        <v>262</v>
      </c>
      <c r="AH78" s="2" t="s">
        <v>398</v>
      </c>
      <c r="AI78" s="2" t="s">
        <v>139</v>
      </c>
      <c r="AJ78" s="2" t="s">
        <v>79</v>
      </c>
      <c r="AK78" s="2" t="s">
        <v>360</v>
      </c>
      <c r="AL78" s="2" t="s">
        <v>75</v>
      </c>
      <c r="AM78" s="2" t="s">
        <v>81</v>
      </c>
      <c r="AN78" s="2" t="s">
        <v>82</v>
      </c>
      <c r="AO78" s="7">
        <v>5.0</v>
      </c>
      <c r="AP78" s="7">
        <v>6.0</v>
      </c>
      <c r="AQ78" s="7">
        <v>8.0</v>
      </c>
      <c r="AR78" s="7">
        <v>7.0</v>
      </c>
      <c r="AS78" s="7"/>
      <c r="AT78" s="8"/>
      <c r="AU78" s="8"/>
      <c r="AV78" s="8"/>
      <c r="AW78" s="8"/>
      <c r="AX78" s="8"/>
      <c r="AY78" s="8">
        <v>0.0</v>
      </c>
      <c r="AZ78" s="9">
        <f t="shared" si="5"/>
        <v>6.5</v>
      </c>
    </row>
    <row r="79">
      <c r="A79" s="4">
        <v>42653.727954166665</v>
      </c>
      <c r="B79" s="5">
        <v>35485.0</v>
      </c>
      <c r="C79" s="2" t="s">
        <v>161</v>
      </c>
      <c r="D79" s="2" t="s">
        <v>47</v>
      </c>
      <c r="E79" s="2" t="s">
        <v>399</v>
      </c>
      <c r="F79" s="2" t="s">
        <v>400</v>
      </c>
      <c r="G79" s="2"/>
      <c r="H79" s="2" t="s">
        <v>401</v>
      </c>
      <c r="I79" s="2" t="s">
        <v>156</v>
      </c>
      <c r="J79" s="2" t="s">
        <v>68</v>
      </c>
      <c r="K79" s="2" t="s">
        <v>53</v>
      </c>
      <c r="L79" s="2" t="s">
        <v>54</v>
      </c>
      <c r="M79" s="2" t="s">
        <v>55</v>
      </c>
      <c r="N79" s="2" t="s">
        <v>96</v>
      </c>
      <c r="O79" s="2" t="s">
        <v>72</v>
      </c>
      <c r="P79" s="4">
        <v>28317.72795138889</v>
      </c>
      <c r="Q79" s="5">
        <v>21149.72795138889</v>
      </c>
      <c r="R79" s="2" t="s">
        <v>57</v>
      </c>
      <c r="S79" s="2" t="s">
        <v>100</v>
      </c>
      <c r="T79" s="2" t="s">
        <v>58</v>
      </c>
      <c r="U79" s="2" t="s">
        <v>100</v>
      </c>
      <c r="V79" s="2"/>
      <c r="W79" s="2" t="s">
        <v>59</v>
      </c>
      <c r="X79" s="2" t="s">
        <v>170</v>
      </c>
      <c r="Y79" s="2" t="s">
        <v>61</v>
      </c>
      <c r="Z79" s="2" t="s">
        <v>61</v>
      </c>
      <c r="AA79" s="2" t="s">
        <v>62</v>
      </c>
      <c r="AB79" s="2" t="s">
        <v>74</v>
      </c>
      <c r="AC79" s="2" t="s">
        <v>74</v>
      </c>
      <c r="AD79" s="2" t="s">
        <v>75</v>
      </c>
      <c r="AE79" s="2" t="s">
        <v>402</v>
      </c>
      <c r="AF79" s="2" t="s">
        <v>63</v>
      </c>
      <c r="AG79" s="7">
        <v>7.85</v>
      </c>
      <c r="AH79" s="7">
        <v>8.27</v>
      </c>
      <c r="AI79" s="7">
        <v>8.95</v>
      </c>
      <c r="AJ79" s="2" t="s">
        <v>124</v>
      </c>
      <c r="AK79" s="7">
        <v>6.9</v>
      </c>
      <c r="AL79" s="2" t="s">
        <v>75</v>
      </c>
      <c r="AM79" s="2" t="s">
        <v>81</v>
      </c>
      <c r="AN79" s="2" t="s">
        <v>75</v>
      </c>
      <c r="AO79" s="7">
        <v>5.0</v>
      </c>
      <c r="AP79" s="7">
        <v>6.0</v>
      </c>
      <c r="AQ79" s="7">
        <v>7.0</v>
      </c>
      <c r="AR79" s="7">
        <v>6.0</v>
      </c>
      <c r="AS79" s="7"/>
      <c r="AT79" s="8"/>
      <c r="AU79" s="8"/>
      <c r="AV79" s="8"/>
      <c r="AW79" s="8"/>
      <c r="AX79" s="8"/>
      <c r="AY79" s="8">
        <v>2.0</v>
      </c>
      <c r="AZ79" s="9">
        <f t="shared" si="5"/>
        <v>6</v>
      </c>
    </row>
    <row r="80">
      <c r="A80" s="4">
        <v>42653.72825635417</v>
      </c>
      <c r="B80" s="5">
        <v>35097.0</v>
      </c>
      <c r="C80" s="2" t="s">
        <v>161</v>
      </c>
      <c r="D80" s="2" t="s">
        <v>47</v>
      </c>
      <c r="E80" s="2" t="s">
        <v>106</v>
      </c>
      <c r="F80" s="2" t="s">
        <v>403</v>
      </c>
      <c r="G80" s="2"/>
      <c r="H80" s="2" t="s">
        <v>120</v>
      </c>
      <c r="I80" s="2" t="s">
        <v>142</v>
      </c>
      <c r="J80" s="2" t="s">
        <v>52</v>
      </c>
      <c r="K80" s="2" t="s">
        <v>143</v>
      </c>
      <c r="L80" s="2" t="s">
        <v>95</v>
      </c>
      <c r="M80" s="2" t="s">
        <v>55</v>
      </c>
      <c r="N80" s="2" t="s">
        <v>113</v>
      </c>
      <c r="O80" s="2" t="s">
        <v>97</v>
      </c>
      <c r="P80" s="4">
        <v>27541.728252314813</v>
      </c>
      <c r="Q80" s="5">
        <v>19985.728252314813</v>
      </c>
      <c r="R80" s="2" t="s">
        <v>57</v>
      </c>
      <c r="S80" s="2" t="s">
        <v>73</v>
      </c>
      <c r="T80" s="2" t="s">
        <v>58</v>
      </c>
      <c r="U80" s="2" t="s">
        <v>58</v>
      </c>
      <c r="V80" s="2" t="s">
        <v>404</v>
      </c>
      <c r="W80" s="2" t="s">
        <v>73</v>
      </c>
      <c r="X80" s="2" t="s">
        <v>170</v>
      </c>
      <c r="Y80" s="2" t="s">
        <v>61</v>
      </c>
      <c r="Z80" s="2" t="s">
        <v>61</v>
      </c>
      <c r="AA80" s="2" t="s">
        <v>62</v>
      </c>
      <c r="AB80" s="2" t="s">
        <v>63</v>
      </c>
      <c r="AC80" s="2" t="s">
        <v>74</v>
      </c>
      <c r="AD80" s="2" t="s">
        <v>75</v>
      </c>
      <c r="AE80" s="2" t="s">
        <v>405</v>
      </c>
      <c r="AF80" s="2" t="s">
        <v>63</v>
      </c>
      <c r="AG80" s="2" t="s">
        <v>406</v>
      </c>
      <c r="AH80" s="7">
        <v>7.0</v>
      </c>
      <c r="AI80" s="2"/>
      <c r="AJ80" s="2"/>
      <c r="AK80" s="2"/>
      <c r="AL80" s="2"/>
      <c r="AM80" s="2"/>
      <c r="AN80" s="2"/>
      <c r="AO80" s="2"/>
      <c r="AP80" s="2"/>
      <c r="AQ80" s="2"/>
      <c r="AR80" s="2"/>
      <c r="AS80" s="2"/>
      <c r="AT80" s="9"/>
      <c r="AU80" s="9"/>
      <c r="AV80" s="9"/>
      <c r="AW80" s="9"/>
      <c r="AX80" s="9"/>
      <c r="AY80" s="9"/>
      <c r="AZ80" s="9"/>
    </row>
    <row r="81">
      <c r="A81" s="4">
        <v>42653.72848351852</v>
      </c>
      <c r="B81" s="5">
        <v>35293.0</v>
      </c>
      <c r="C81" s="2" t="s">
        <v>161</v>
      </c>
      <c r="D81" s="2" t="s">
        <v>47</v>
      </c>
      <c r="E81" s="2" t="s">
        <v>106</v>
      </c>
      <c r="F81" s="2" t="s">
        <v>273</v>
      </c>
      <c r="G81" s="2"/>
      <c r="H81" s="2" t="s">
        <v>120</v>
      </c>
      <c r="I81" s="2" t="s">
        <v>51</v>
      </c>
      <c r="J81" s="2" t="s">
        <v>52</v>
      </c>
      <c r="K81" s="2" t="s">
        <v>143</v>
      </c>
      <c r="L81" s="2" t="s">
        <v>95</v>
      </c>
      <c r="M81" s="2" t="s">
        <v>189</v>
      </c>
      <c r="N81" s="2" t="s">
        <v>96</v>
      </c>
      <c r="O81" s="2" t="s">
        <v>97</v>
      </c>
      <c r="P81" s="4">
        <v>27933.728483796298</v>
      </c>
      <c r="Q81" s="5">
        <v>20573.728483796298</v>
      </c>
      <c r="R81" s="2" t="s">
        <v>57</v>
      </c>
      <c r="S81" s="2" t="s">
        <v>57</v>
      </c>
      <c r="T81" s="2" t="s">
        <v>58</v>
      </c>
      <c r="U81" s="2" t="s">
        <v>58</v>
      </c>
      <c r="V81" s="2"/>
      <c r="W81" s="2" t="s">
        <v>59</v>
      </c>
      <c r="X81" s="2" t="s">
        <v>170</v>
      </c>
      <c r="Y81" s="2" t="s">
        <v>61</v>
      </c>
      <c r="Z81" s="2" t="s">
        <v>61</v>
      </c>
      <c r="AA81" s="2"/>
      <c r="AB81" s="2" t="s">
        <v>74</v>
      </c>
      <c r="AC81" s="2" t="s">
        <v>74</v>
      </c>
      <c r="AD81" s="2" t="s">
        <v>82</v>
      </c>
      <c r="AE81" s="2"/>
      <c r="AF81" s="2" t="s">
        <v>63</v>
      </c>
      <c r="AG81" s="7">
        <v>7.75</v>
      </c>
      <c r="AH81" s="2" t="s">
        <v>407</v>
      </c>
      <c r="AI81" s="2" t="s">
        <v>203</v>
      </c>
      <c r="AJ81" s="2" t="s">
        <v>124</v>
      </c>
      <c r="AK81" s="2" t="s">
        <v>316</v>
      </c>
      <c r="AL81" s="2" t="s">
        <v>82</v>
      </c>
      <c r="AM81" s="2" t="s">
        <v>82</v>
      </c>
      <c r="AN81" s="2" t="s">
        <v>82</v>
      </c>
      <c r="AO81" s="7">
        <v>8.0</v>
      </c>
      <c r="AP81" s="7">
        <v>6.0</v>
      </c>
      <c r="AQ81" s="7">
        <v>6.0</v>
      </c>
      <c r="AR81" s="7">
        <v>6.0</v>
      </c>
      <c r="AS81" s="7"/>
      <c r="AT81" s="8"/>
      <c r="AU81" s="8"/>
      <c r="AV81" s="8"/>
      <c r="AW81" s="8"/>
      <c r="AX81" s="8"/>
      <c r="AY81" s="8">
        <v>0.0</v>
      </c>
      <c r="AZ81" s="9">
        <f t="shared" ref="AZ81:AZ96" si="6">AVERAGE(AO81:AR81)</f>
        <v>6.5</v>
      </c>
    </row>
    <row r="82">
      <c r="A82" s="4">
        <v>42653.72895603009</v>
      </c>
      <c r="B82" s="5">
        <v>35289.0</v>
      </c>
      <c r="C82" s="2" t="s">
        <v>161</v>
      </c>
      <c r="D82" s="2" t="s">
        <v>47</v>
      </c>
      <c r="E82" s="2" t="s">
        <v>106</v>
      </c>
      <c r="F82" s="2" t="s">
        <v>408</v>
      </c>
      <c r="G82" s="2"/>
      <c r="H82" s="2" t="s">
        <v>66</v>
      </c>
      <c r="I82" s="2" t="s">
        <v>51</v>
      </c>
      <c r="J82" s="2" t="s">
        <v>234</v>
      </c>
      <c r="K82" s="2" t="s">
        <v>143</v>
      </c>
      <c r="L82" s="2" t="s">
        <v>144</v>
      </c>
      <c r="M82" s="2" t="s">
        <v>70</v>
      </c>
      <c r="N82" s="2" t="s">
        <v>86</v>
      </c>
      <c r="O82" s="2" t="s">
        <v>97</v>
      </c>
      <c r="P82" s="4">
        <v>27925.728958333333</v>
      </c>
      <c r="Q82" s="5">
        <v>20561.728958333333</v>
      </c>
      <c r="R82" s="2" t="s">
        <v>73</v>
      </c>
      <c r="S82" s="2" t="s">
        <v>73</v>
      </c>
      <c r="T82" s="2" t="s">
        <v>58</v>
      </c>
      <c r="U82" s="2" t="s">
        <v>58</v>
      </c>
      <c r="V82" s="2"/>
      <c r="W82" s="2" t="s">
        <v>59</v>
      </c>
      <c r="X82" s="2" t="s">
        <v>170</v>
      </c>
      <c r="Y82" s="2" t="s">
        <v>101</v>
      </c>
      <c r="Z82" s="2" t="s">
        <v>101</v>
      </c>
      <c r="AA82" s="2" t="s">
        <v>62</v>
      </c>
      <c r="AB82" s="2" t="s">
        <v>74</v>
      </c>
      <c r="AC82" s="2" t="s">
        <v>74</v>
      </c>
      <c r="AD82" s="2" t="s">
        <v>82</v>
      </c>
      <c r="AE82" s="2" t="s">
        <v>409</v>
      </c>
      <c r="AF82" s="2" t="s">
        <v>63</v>
      </c>
      <c r="AG82" s="7">
        <v>17.0</v>
      </c>
      <c r="AH82" s="7">
        <v>8.55</v>
      </c>
      <c r="AI82" s="7">
        <v>9.9</v>
      </c>
      <c r="AJ82" s="2" t="s">
        <v>79</v>
      </c>
      <c r="AK82" s="7">
        <v>9.0</v>
      </c>
      <c r="AL82" s="2" t="s">
        <v>82</v>
      </c>
      <c r="AM82" s="2" t="s">
        <v>82</v>
      </c>
      <c r="AN82" s="2" t="s">
        <v>82</v>
      </c>
      <c r="AO82" s="7">
        <v>5.0</v>
      </c>
      <c r="AP82" s="7">
        <v>5.0</v>
      </c>
      <c r="AQ82" s="7">
        <v>9.0</v>
      </c>
      <c r="AR82" s="7">
        <v>6.0</v>
      </c>
      <c r="AS82" s="7"/>
      <c r="AT82" s="8"/>
      <c r="AU82" s="8"/>
      <c r="AV82" s="8"/>
      <c r="AW82" s="8"/>
      <c r="AX82" s="8"/>
      <c r="AY82" s="8">
        <v>0.0</v>
      </c>
      <c r="AZ82" s="9">
        <f t="shared" si="6"/>
        <v>6.25</v>
      </c>
    </row>
    <row r="83">
      <c r="A83" s="4">
        <v>42653.7315250463</v>
      </c>
      <c r="B83" s="5">
        <v>35102.0</v>
      </c>
      <c r="C83" s="2" t="s">
        <v>161</v>
      </c>
      <c r="D83" s="2" t="s">
        <v>47</v>
      </c>
      <c r="E83" s="2" t="s">
        <v>179</v>
      </c>
      <c r="F83" s="2" t="s">
        <v>410</v>
      </c>
      <c r="G83" s="2"/>
      <c r="H83" s="2" t="s">
        <v>411</v>
      </c>
      <c r="I83" s="2" t="s">
        <v>51</v>
      </c>
      <c r="J83" s="2" t="s">
        <v>52</v>
      </c>
      <c r="K83" s="2" t="s">
        <v>53</v>
      </c>
      <c r="L83" s="2" t="s">
        <v>95</v>
      </c>
      <c r="M83" s="2" t="s">
        <v>55</v>
      </c>
      <c r="N83" s="2" t="s">
        <v>113</v>
      </c>
      <c r="O83" s="2" t="s">
        <v>174</v>
      </c>
      <c r="P83" s="4">
        <v>27551.731527777778</v>
      </c>
      <c r="Q83" s="5">
        <v>20000.731527777778</v>
      </c>
      <c r="R83" s="2" t="s">
        <v>73</v>
      </c>
      <c r="S83" s="2" t="s">
        <v>100</v>
      </c>
      <c r="T83" s="2" t="s">
        <v>57</v>
      </c>
      <c r="U83" s="2" t="s">
        <v>58</v>
      </c>
      <c r="V83" s="2" t="s">
        <v>412</v>
      </c>
      <c r="W83" s="2" t="s">
        <v>100</v>
      </c>
      <c r="X83" s="2" t="s">
        <v>73</v>
      </c>
      <c r="Y83" s="2" t="s">
        <v>60</v>
      </c>
      <c r="Z83" s="2" t="s">
        <v>101</v>
      </c>
      <c r="AA83" s="2" t="s">
        <v>62</v>
      </c>
      <c r="AB83" s="2" t="s">
        <v>74</v>
      </c>
      <c r="AC83" s="2" t="s">
        <v>74</v>
      </c>
      <c r="AD83" s="2" t="s">
        <v>121</v>
      </c>
      <c r="AE83" s="2"/>
      <c r="AF83" s="2" t="s">
        <v>63</v>
      </c>
      <c r="AG83" s="2" t="s">
        <v>413</v>
      </c>
      <c r="AH83" s="2" t="s">
        <v>346</v>
      </c>
      <c r="AI83" s="2" t="s">
        <v>360</v>
      </c>
      <c r="AJ83" s="2" t="s">
        <v>124</v>
      </c>
      <c r="AK83" s="2" t="s">
        <v>346</v>
      </c>
      <c r="AL83" s="2" t="s">
        <v>75</v>
      </c>
      <c r="AM83" s="2" t="s">
        <v>121</v>
      </c>
      <c r="AN83" s="2" t="s">
        <v>82</v>
      </c>
      <c r="AO83" s="7">
        <v>6.0</v>
      </c>
      <c r="AP83" s="7">
        <v>5.0</v>
      </c>
      <c r="AQ83" s="7">
        <v>8.0</v>
      </c>
      <c r="AR83" s="7">
        <v>7.0</v>
      </c>
      <c r="AS83" s="7"/>
      <c r="AT83" s="8"/>
      <c r="AU83" s="8"/>
      <c r="AV83" s="8"/>
      <c r="AW83" s="8"/>
      <c r="AX83" s="8"/>
      <c r="AY83" s="8">
        <v>1.0</v>
      </c>
      <c r="AZ83" s="9">
        <f t="shared" si="6"/>
        <v>6.5</v>
      </c>
    </row>
    <row r="84">
      <c r="A84" s="4">
        <v>42653.73282925926</v>
      </c>
      <c r="B84" s="5">
        <v>35097.0</v>
      </c>
      <c r="C84" s="2" t="s">
        <v>161</v>
      </c>
      <c r="D84" s="2" t="s">
        <v>47</v>
      </c>
      <c r="E84" s="2" t="s">
        <v>106</v>
      </c>
      <c r="F84" s="2" t="s">
        <v>403</v>
      </c>
      <c r="G84" s="2"/>
      <c r="H84" s="2" t="s">
        <v>120</v>
      </c>
      <c r="I84" s="2" t="s">
        <v>142</v>
      </c>
      <c r="J84" s="2" t="s">
        <v>52</v>
      </c>
      <c r="K84" s="2" t="s">
        <v>143</v>
      </c>
      <c r="L84" s="2" t="s">
        <v>95</v>
      </c>
      <c r="M84" s="2" t="s">
        <v>55</v>
      </c>
      <c r="N84" s="2" t="s">
        <v>113</v>
      </c>
      <c r="O84" s="2" t="s">
        <v>97</v>
      </c>
      <c r="P84" s="4">
        <v>27541.732824074075</v>
      </c>
      <c r="Q84" s="5">
        <v>19985.732824074075</v>
      </c>
      <c r="R84" s="2" t="s">
        <v>57</v>
      </c>
      <c r="S84" s="2" t="s">
        <v>73</v>
      </c>
      <c r="T84" s="2" t="s">
        <v>58</v>
      </c>
      <c r="U84" s="2" t="s">
        <v>58</v>
      </c>
      <c r="V84" s="2" t="s">
        <v>404</v>
      </c>
      <c r="W84" s="2" t="s">
        <v>73</v>
      </c>
      <c r="X84" s="2" t="s">
        <v>170</v>
      </c>
      <c r="Y84" s="2" t="s">
        <v>61</v>
      </c>
      <c r="Z84" s="2" t="s">
        <v>61</v>
      </c>
      <c r="AA84" s="2" t="s">
        <v>62</v>
      </c>
      <c r="AB84" s="2" t="s">
        <v>63</v>
      </c>
      <c r="AC84" s="2" t="s">
        <v>74</v>
      </c>
      <c r="AD84" s="2" t="s">
        <v>75</v>
      </c>
      <c r="AE84" s="2" t="s">
        <v>405</v>
      </c>
      <c r="AF84" s="2" t="s">
        <v>63</v>
      </c>
      <c r="AG84" s="2" t="s">
        <v>406</v>
      </c>
      <c r="AH84" s="2" t="s">
        <v>414</v>
      </c>
      <c r="AI84" s="2" t="s">
        <v>171</v>
      </c>
      <c r="AJ84" s="2" t="s">
        <v>124</v>
      </c>
      <c r="AK84" s="2" t="s">
        <v>354</v>
      </c>
      <c r="AL84" s="2" t="s">
        <v>82</v>
      </c>
      <c r="AM84" s="2" t="s">
        <v>93</v>
      </c>
      <c r="AN84" s="2" t="s">
        <v>75</v>
      </c>
      <c r="AO84" s="7">
        <v>5.0</v>
      </c>
      <c r="AP84" s="7">
        <v>7.0</v>
      </c>
      <c r="AQ84" s="7">
        <v>6.0</v>
      </c>
      <c r="AR84" s="7">
        <v>7.0</v>
      </c>
      <c r="AS84" s="7"/>
      <c r="AT84" s="8"/>
      <c r="AU84" s="8"/>
      <c r="AV84" s="8"/>
      <c r="AW84" s="8"/>
      <c r="AX84" s="8"/>
      <c r="AY84" s="8">
        <v>0.0</v>
      </c>
      <c r="AZ84" s="9">
        <f t="shared" si="6"/>
        <v>6.25</v>
      </c>
    </row>
    <row r="85">
      <c r="A85" s="4">
        <v>42653.805507268524</v>
      </c>
      <c r="B85" s="5">
        <v>35414.0</v>
      </c>
      <c r="C85" s="2" t="s">
        <v>161</v>
      </c>
      <c r="D85" s="2" t="s">
        <v>47</v>
      </c>
      <c r="E85" s="2" t="s">
        <v>48</v>
      </c>
      <c r="F85" s="2" t="s">
        <v>415</v>
      </c>
      <c r="G85" s="2"/>
      <c r="H85" s="2" t="s">
        <v>66</v>
      </c>
      <c r="I85" s="2" t="s">
        <v>156</v>
      </c>
      <c r="J85" s="2" t="s">
        <v>52</v>
      </c>
      <c r="K85" s="2" t="s">
        <v>143</v>
      </c>
      <c r="L85" s="2" t="s">
        <v>95</v>
      </c>
      <c r="M85" s="2" t="s">
        <v>70</v>
      </c>
      <c r="N85" s="2" t="s">
        <v>113</v>
      </c>
      <c r="O85" s="2" t="s">
        <v>97</v>
      </c>
      <c r="P85" s="4">
        <v>28175.80550925926</v>
      </c>
      <c r="Q85" s="5">
        <v>20936.80550925926</v>
      </c>
      <c r="R85" s="2" t="s">
        <v>100</v>
      </c>
      <c r="S85" s="2" t="s">
        <v>57</v>
      </c>
      <c r="T85" s="2" t="s">
        <v>58</v>
      </c>
      <c r="U85" s="2" t="s">
        <v>58</v>
      </c>
      <c r="V85" s="2"/>
      <c r="W85" s="2" t="s">
        <v>59</v>
      </c>
      <c r="X85" s="2" t="s">
        <v>170</v>
      </c>
      <c r="Y85" s="2" t="s">
        <v>61</v>
      </c>
      <c r="Z85" s="2" t="s">
        <v>61</v>
      </c>
      <c r="AA85" s="2" t="s">
        <v>62</v>
      </c>
      <c r="AB85" s="2" t="s">
        <v>74</v>
      </c>
      <c r="AC85" s="2" t="s">
        <v>74</v>
      </c>
      <c r="AD85" s="2" t="s">
        <v>82</v>
      </c>
      <c r="AE85" s="2"/>
      <c r="AF85" s="2" t="s">
        <v>63</v>
      </c>
      <c r="AG85" s="2" t="s">
        <v>416</v>
      </c>
      <c r="AH85" s="7">
        <v>9.3</v>
      </c>
      <c r="AI85" s="7">
        <v>9.45</v>
      </c>
      <c r="AJ85" s="2" t="s">
        <v>79</v>
      </c>
      <c r="AK85" s="7">
        <v>8.8</v>
      </c>
      <c r="AL85" s="2" t="s">
        <v>82</v>
      </c>
      <c r="AM85" s="2" t="s">
        <v>75</v>
      </c>
      <c r="AN85" s="2" t="s">
        <v>82</v>
      </c>
      <c r="AO85" s="7">
        <v>10.0</v>
      </c>
      <c r="AP85" s="7">
        <v>8.0</v>
      </c>
      <c r="AQ85" s="7">
        <v>9.0</v>
      </c>
      <c r="AR85" s="7">
        <v>6.0</v>
      </c>
      <c r="AS85" s="7"/>
      <c r="AT85" s="8"/>
      <c r="AU85" s="8"/>
      <c r="AV85" s="8"/>
      <c r="AW85" s="8"/>
      <c r="AX85" s="8"/>
      <c r="AY85" s="8">
        <v>0.0</v>
      </c>
      <c r="AZ85" s="9">
        <f t="shared" si="6"/>
        <v>8.25</v>
      </c>
    </row>
    <row r="86">
      <c r="A86" s="4">
        <v>42653.80551364583</v>
      </c>
      <c r="B86" s="5">
        <v>35392.0</v>
      </c>
      <c r="C86" s="2" t="s">
        <v>161</v>
      </c>
      <c r="D86" s="2" t="s">
        <v>47</v>
      </c>
      <c r="E86" s="2" t="s">
        <v>291</v>
      </c>
      <c r="F86" s="2" t="s">
        <v>417</v>
      </c>
      <c r="G86" s="2"/>
      <c r="H86" s="2" t="s">
        <v>66</v>
      </c>
      <c r="I86" s="2" t="s">
        <v>51</v>
      </c>
      <c r="J86" s="2" t="s">
        <v>52</v>
      </c>
      <c r="K86" s="2" t="s">
        <v>143</v>
      </c>
      <c r="L86" s="2" t="s">
        <v>144</v>
      </c>
      <c r="M86" s="2" t="s">
        <v>55</v>
      </c>
      <c r="N86" s="2" t="s">
        <v>113</v>
      </c>
      <c r="O86" s="2" t="s">
        <v>418</v>
      </c>
      <c r="P86" s="4">
        <v>28131.80550925926</v>
      </c>
      <c r="Q86" s="5">
        <v>20870.80550925926</v>
      </c>
      <c r="R86" s="2" t="s">
        <v>98</v>
      </c>
      <c r="S86" s="2" t="s">
        <v>57</v>
      </c>
      <c r="T86" s="2" t="s">
        <v>58</v>
      </c>
      <c r="U86" s="2" t="s">
        <v>58</v>
      </c>
      <c r="V86" s="2"/>
      <c r="W86" s="2" t="s">
        <v>59</v>
      </c>
      <c r="X86" s="2" t="s">
        <v>170</v>
      </c>
      <c r="Y86" s="2" t="s">
        <v>61</v>
      </c>
      <c r="Z86" s="2" t="s">
        <v>210</v>
      </c>
      <c r="AA86" s="2" t="s">
        <v>62</v>
      </c>
      <c r="AB86" s="2" t="s">
        <v>74</v>
      </c>
      <c r="AC86" s="2" t="s">
        <v>63</v>
      </c>
      <c r="AD86" s="2" t="s">
        <v>93</v>
      </c>
      <c r="AE86" s="2"/>
      <c r="AF86" s="2" t="s">
        <v>63</v>
      </c>
      <c r="AG86" s="2" t="s">
        <v>191</v>
      </c>
      <c r="AH86" s="2" t="s">
        <v>419</v>
      </c>
      <c r="AI86" s="2" t="s">
        <v>360</v>
      </c>
      <c r="AJ86" s="2" t="s">
        <v>79</v>
      </c>
      <c r="AK86" s="2" t="s">
        <v>123</v>
      </c>
      <c r="AL86" s="2" t="s">
        <v>75</v>
      </c>
      <c r="AM86" s="2" t="s">
        <v>75</v>
      </c>
      <c r="AN86" s="2" t="s">
        <v>82</v>
      </c>
      <c r="AO86" s="7">
        <v>5.0</v>
      </c>
      <c r="AP86" s="7">
        <v>7.0</v>
      </c>
      <c r="AQ86" s="7">
        <v>7.0</v>
      </c>
      <c r="AR86" s="7">
        <v>6.0</v>
      </c>
      <c r="AS86" s="7"/>
      <c r="AT86" s="8"/>
      <c r="AU86" s="8"/>
      <c r="AV86" s="8"/>
      <c r="AW86" s="8"/>
      <c r="AX86" s="8"/>
      <c r="AY86" s="8">
        <v>0.0</v>
      </c>
      <c r="AZ86" s="9">
        <f t="shared" si="6"/>
        <v>6.25</v>
      </c>
    </row>
    <row r="87">
      <c r="A87" s="4">
        <v>42653.80597497685</v>
      </c>
      <c r="B87" s="5">
        <v>35185.0</v>
      </c>
      <c r="C87" s="2" t="s">
        <v>161</v>
      </c>
      <c r="D87" s="2" t="s">
        <v>47</v>
      </c>
      <c r="E87" s="2" t="s">
        <v>48</v>
      </c>
      <c r="F87" s="2" t="s">
        <v>420</v>
      </c>
      <c r="G87" s="2"/>
      <c r="H87" s="2" t="s">
        <v>120</v>
      </c>
      <c r="I87" s="2" t="s">
        <v>156</v>
      </c>
      <c r="J87" s="2" t="s">
        <v>52</v>
      </c>
      <c r="K87" s="2" t="s">
        <v>143</v>
      </c>
      <c r="L87" s="2" t="s">
        <v>144</v>
      </c>
      <c r="M87" s="2" t="s">
        <v>85</v>
      </c>
      <c r="N87" s="2" t="s">
        <v>113</v>
      </c>
      <c r="O87" s="2" t="s">
        <v>72</v>
      </c>
      <c r="P87" s="4">
        <v>27717.80597222222</v>
      </c>
      <c r="Q87" s="5">
        <v>20249.80597222222</v>
      </c>
      <c r="R87" s="2" t="s">
        <v>100</v>
      </c>
      <c r="S87" s="2" t="s">
        <v>73</v>
      </c>
      <c r="T87" s="2" t="s">
        <v>58</v>
      </c>
      <c r="U87" s="2" t="s">
        <v>58</v>
      </c>
      <c r="V87" s="2" t="s">
        <v>421</v>
      </c>
      <c r="W87" s="2" t="s">
        <v>59</v>
      </c>
      <c r="X87" s="2" t="s">
        <v>170</v>
      </c>
      <c r="Y87" s="2" t="s">
        <v>60</v>
      </c>
      <c r="Z87" s="2" t="s">
        <v>61</v>
      </c>
      <c r="AA87" s="2" t="s">
        <v>62</v>
      </c>
      <c r="AB87" s="2" t="s">
        <v>74</v>
      </c>
      <c r="AC87" s="2" t="s">
        <v>74</v>
      </c>
      <c r="AD87" s="2" t="s">
        <v>75</v>
      </c>
      <c r="AE87" s="2" t="s">
        <v>422</v>
      </c>
      <c r="AF87" s="2" t="s">
        <v>63</v>
      </c>
      <c r="AG87" s="2" t="s">
        <v>423</v>
      </c>
      <c r="AH87" s="2" t="s">
        <v>270</v>
      </c>
      <c r="AI87" s="2" t="s">
        <v>424</v>
      </c>
      <c r="AJ87" s="2" t="s">
        <v>124</v>
      </c>
      <c r="AK87" s="2" t="s">
        <v>130</v>
      </c>
      <c r="AL87" s="2" t="s">
        <v>75</v>
      </c>
      <c r="AM87" s="2" t="s">
        <v>82</v>
      </c>
      <c r="AN87" s="2" t="s">
        <v>82</v>
      </c>
      <c r="AO87" s="7">
        <v>5.0</v>
      </c>
      <c r="AP87" s="7">
        <v>7.0</v>
      </c>
      <c r="AQ87" s="7">
        <v>9.0</v>
      </c>
      <c r="AR87" s="7">
        <v>6.0</v>
      </c>
      <c r="AS87" s="7"/>
      <c r="AT87" s="8"/>
      <c r="AU87" s="8"/>
      <c r="AV87" s="8"/>
      <c r="AW87" s="8"/>
      <c r="AX87" s="8"/>
      <c r="AY87" s="8">
        <v>1.0</v>
      </c>
      <c r="AZ87" s="9">
        <f t="shared" si="6"/>
        <v>6.75</v>
      </c>
    </row>
    <row r="88">
      <c r="A88" s="4">
        <v>42653.80627342593</v>
      </c>
      <c r="B88" s="5">
        <v>35166.0</v>
      </c>
      <c r="C88" s="2" t="s">
        <v>161</v>
      </c>
      <c r="D88" s="2" t="s">
        <v>47</v>
      </c>
      <c r="E88" s="2" t="s">
        <v>48</v>
      </c>
      <c r="F88" s="2" t="s">
        <v>425</v>
      </c>
      <c r="G88" s="2"/>
      <c r="H88" s="2" t="s">
        <v>66</v>
      </c>
      <c r="I88" s="2" t="s">
        <v>51</v>
      </c>
      <c r="J88" s="2" t="s">
        <v>254</v>
      </c>
      <c r="K88" s="2" t="s">
        <v>53</v>
      </c>
      <c r="L88" s="2" t="s">
        <v>229</v>
      </c>
      <c r="M88" s="2" t="s">
        <v>55</v>
      </c>
      <c r="N88" s="2" t="s">
        <v>96</v>
      </c>
      <c r="O88" s="2" t="s">
        <v>426</v>
      </c>
      <c r="P88" s="4">
        <v>27679.806273148148</v>
      </c>
      <c r="Q88" s="5">
        <v>20192.806273148148</v>
      </c>
      <c r="R88" s="2" t="s">
        <v>100</v>
      </c>
      <c r="S88" s="2" t="s">
        <v>73</v>
      </c>
      <c r="T88" s="2" t="s">
        <v>58</v>
      </c>
      <c r="U88" s="2" t="s">
        <v>58</v>
      </c>
      <c r="V88" s="2"/>
      <c r="W88" s="2" t="s">
        <v>57</v>
      </c>
      <c r="X88" s="2" t="s">
        <v>170</v>
      </c>
      <c r="Y88" s="2" t="s">
        <v>61</v>
      </c>
      <c r="Z88" s="2" t="s">
        <v>61</v>
      </c>
      <c r="AA88" s="2" t="s">
        <v>62</v>
      </c>
      <c r="AB88" s="2" t="s">
        <v>74</v>
      </c>
      <c r="AC88" s="2" t="s">
        <v>74</v>
      </c>
      <c r="AD88" s="2" t="s">
        <v>75</v>
      </c>
      <c r="AE88" s="2" t="s">
        <v>427</v>
      </c>
      <c r="AF88" s="2" t="s">
        <v>63</v>
      </c>
      <c r="AG88" s="7">
        <v>15.0</v>
      </c>
      <c r="AH88" s="2" t="s">
        <v>428</v>
      </c>
      <c r="AI88" s="2" t="s">
        <v>429</v>
      </c>
      <c r="AJ88" s="2" t="s">
        <v>79</v>
      </c>
      <c r="AK88" s="2" t="s">
        <v>430</v>
      </c>
      <c r="AL88" s="2" t="s">
        <v>82</v>
      </c>
      <c r="AM88" s="2" t="s">
        <v>82</v>
      </c>
      <c r="AN88" s="2" t="s">
        <v>82</v>
      </c>
      <c r="AO88" s="7">
        <v>5.0</v>
      </c>
      <c r="AP88" s="7">
        <v>5.0</v>
      </c>
      <c r="AQ88" s="7">
        <v>8.0</v>
      </c>
      <c r="AR88" s="7">
        <v>6.0</v>
      </c>
      <c r="AS88" s="7"/>
      <c r="AT88" s="8"/>
      <c r="AU88" s="8"/>
      <c r="AV88" s="8"/>
      <c r="AW88" s="8"/>
      <c r="AX88" s="8"/>
      <c r="AY88" s="8">
        <v>0.0</v>
      </c>
      <c r="AZ88" s="9">
        <f t="shared" si="6"/>
        <v>6</v>
      </c>
    </row>
    <row r="89">
      <c r="A89" s="4">
        <v>42653.80680287037</v>
      </c>
      <c r="B89" s="5">
        <v>35354.0</v>
      </c>
      <c r="C89" s="2" t="s">
        <v>46</v>
      </c>
      <c r="D89" s="2" t="s">
        <v>47</v>
      </c>
      <c r="E89" s="2" t="s">
        <v>48</v>
      </c>
      <c r="F89" s="2" t="s">
        <v>431</v>
      </c>
      <c r="G89" s="2"/>
      <c r="H89" s="2" t="s">
        <v>120</v>
      </c>
      <c r="I89" s="2" t="s">
        <v>51</v>
      </c>
      <c r="J89" s="2" t="s">
        <v>68</v>
      </c>
      <c r="K89" s="2" t="s">
        <v>53</v>
      </c>
      <c r="L89" s="2" t="s">
        <v>84</v>
      </c>
      <c r="M89" s="2" t="s">
        <v>55</v>
      </c>
      <c r="N89" s="2" t="s">
        <v>96</v>
      </c>
      <c r="O89" s="2" t="s">
        <v>72</v>
      </c>
      <c r="P89" s="4">
        <v>28055.806805555556</v>
      </c>
      <c r="Q89" s="5">
        <v>20756.806805555556</v>
      </c>
      <c r="R89" s="2"/>
      <c r="S89" s="2" t="s">
        <v>57</v>
      </c>
      <c r="T89" s="2" t="s">
        <v>58</v>
      </c>
      <c r="U89" s="2" t="s">
        <v>58</v>
      </c>
      <c r="V89" s="2" t="s">
        <v>432</v>
      </c>
      <c r="W89" s="2" t="s">
        <v>59</v>
      </c>
      <c r="X89" s="2" t="s">
        <v>57</v>
      </c>
      <c r="Y89" s="2" t="s">
        <v>61</v>
      </c>
      <c r="Z89" s="2" t="s">
        <v>61</v>
      </c>
      <c r="AA89" s="2" t="s">
        <v>433</v>
      </c>
      <c r="AB89" s="2" t="s">
        <v>74</v>
      </c>
      <c r="AC89" s="2" t="s">
        <v>74</v>
      </c>
      <c r="AD89" s="2" t="s">
        <v>82</v>
      </c>
      <c r="AE89" s="2"/>
      <c r="AF89" s="2" t="s">
        <v>63</v>
      </c>
      <c r="AG89" s="7">
        <v>8.0</v>
      </c>
      <c r="AH89" s="2" t="s">
        <v>251</v>
      </c>
      <c r="AI89" s="2" t="s">
        <v>434</v>
      </c>
      <c r="AJ89" s="2" t="s">
        <v>124</v>
      </c>
      <c r="AK89" s="2" t="s">
        <v>435</v>
      </c>
      <c r="AL89" s="2" t="s">
        <v>75</v>
      </c>
      <c r="AM89" s="2" t="s">
        <v>82</v>
      </c>
      <c r="AN89" s="2" t="s">
        <v>82</v>
      </c>
      <c r="AO89" s="7">
        <v>5.0</v>
      </c>
      <c r="AP89" s="7">
        <v>7.0</v>
      </c>
      <c r="AQ89" s="7">
        <v>7.0</v>
      </c>
      <c r="AR89" s="7">
        <v>5.0</v>
      </c>
      <c r="AS89" s="7"/>
      <c r="AT89" s="8"/>
      <c r="AU89" s="8"/>
      <c r="AV89" s="8"/>
      <c r="AW89" s="8"/>
      <c r="AX89" s="8"/>
      <c r="AY89" s="8">
        <v>1.0</v>
      </c>
      <c r="AZ89" s="9">
        <f t="shared" si="6"/>
        <v>6</v>
      </c>
    </row>
    <row r="90">
      <c r="A90" s="4">
        <v>42653.807913599536</v>
      </c>
      <c r="B90" s="2"/>
      <c r="C90" s="2" t="s">
        <v>161</v>
      </c>
      <c r="D90" s="2" t="s">
        <v>47</v>
      </c>
      <c r="E90" s="2" t="s">
        <v>118</v>
      </c>
      <c r="F90" s="2" t="s">
        <v>377</v>
      </c>
      <c r="G90" s="2"/>
      <c r="H90" s="2" t="s">
        <v>66</v>
      </c>
      <c r="I90" s="2" t="s">
        <v>51</v>
      </c>
      <c r="J90" s="2" t="s">
        <v>111</v>
      </c>
      <c r="K90" s="2" t="s">
        <v>53</v>
      </c>
      <c r="L90" s="2" t="s">
        <v>84</v>
      </c>
      <c r="M90" s="2" t="s">
        <v>85</v>
      </c>
      <c r="N90" s="2" t="s">
        <v>113</v>
      </c>
      <c r="O90" s="2" t="s">
        <v>97</v>
      </c>
      <c r="P90" s="4">
        <v>42654.807916666665</v>
      </c>
      <c r="Q90" s="2"/>
      <c r="R90" s="2" t="s">
        <v>73</v>
      </c>
      <c r="S90" s="2" t="s">
        <v>73</v>
      </c>
      <c r="T90" s="2" t="s">
        <v>58</v>
      </c>
      <c r="U90" s="2" t="s">
        <v>58</v>
      </c>
      <c r="V90" s="2"/>
      <c r="W90" s="2" t="s">
        <v>73</v>
      </c>
      <c r="X90" s="2" t="s">
        <v>57</v>
      </c>
      <c r="Y90" s="2" t="s">
        <v>61</v>
      </c>
      <c r="Z90" s="2" t="s">
        <v>61</v>
      </c>
      <c r="AA90" s="2" t="s">
        <v>62</v>
      </c>
      <c r="AB90" s="2" t="s">
        <v>74</v>
      </c>
      <c r="AC90" s="2" t="s">
        <v>74</v>
      </c>
      <c r="AD90" s="2" t="s">
        <v>82</v>
      </c>
      <c r="AE90" s="2"/>
      <c r="AF90" s="2" t="s">
        <v>63</v>
      </c>
      <c r="AG90" s="7">
        <v>16.0</v>
      </c>
      <c r="AH90" s="2" t="s">
        <v>436</v>
      </c>
      <c r="AI90" s="2" t="s">
        <v>148</v>
      </c>
      <c r="AJ90" s="2" t="s">
        <v>79</v>
      </c>
      <c r="AK90" s="2" t="s">
        <v>299</v>
      </c>
      <c r="AL90" s="2" t="s">
        <v>82</v>
      </c>
      <c r="AM90" s="2" t="s">
        <v>75</v>
      </c>
      <c r="AN90" s="2" t="s">
        <v>82</v>
      </c>
      <c r="AO90" s="7">
        <v>7.0</v>
      </c>
      <c r="AP90" s="7">
        <v>7.0</v>
      </c>
      <c r="AQ90" s="7">
        <v>9.0</v>
      </c>
      <c r="AR90" s="7">
        <v>6.0</v>
      </c>
      <c r="AS90" s="7"/>
      <c r="AT90" s="8"/>
      <c r="AU90" s="8"/>
      <c r="AV90" s="8"/>
      <c r="AW90" s="8"/>
      <c r="AX90" s="8"/>
      <c r="AY90" s="8">
        <v>1.0</v>
      </c>
      <c r="AZ90" s="9">
        <f t="shared" si="6"/>
        <v>7.25</v>
      </c>
    </row>
    <row r="91">
      <c r="A91" s="4">
        <v>42653.80800680556</v>
      </c>
      <c r="B91" s="5">
        <v>42653.0</v>
      </c>
      <c r="C91" s="2" t="s">
        <v>161</v>
      </c>
      <c r="D91" s="2" t="s">
        <v>47</v>
      </c>
      <c r="E91" s="2" t="s">
        <v>106</v>
      </c>
      <c r="F91" s="2" t="s">
        <v>437</v>
      </c>
      <c r="G91" s="2"/>
      <c r="H91" s="2" t="s">
        <v>438</v>
      </c>
      <c r="I91" s="2" t="s">
        <v>51</v>
      </c>
      <c r="J91" s="2" t="s">
        <v>68</v>
      </c>
      <c r="K91" s="2" t="s">
        <v>53</v>
      </c>
      <c r="L91" s="2" t="s">
        <v>69</v>
      </c>
      <c r="M91" s="2" t="s">
        <v>55</v>
      </c>
      <c r="N91" s="2" t="s">
        <v>113</v>
      </c>
      <c r="O91" s="2" t="s">
        <v>97</v>
      </c>
      <c r="P91" s="4">
        <v>42653.80800925926</v>
      </c>
      <c r="Q91" s="5">
        <v>42653.80800925926</v>
      </c>
      <c r="R91" s="2" t="s">
        <v>100</v>
      </c>
      <c r="S91" s="2" t="s">
        <v>98</v>
      </c>
      <c r="T91" s="2" t="s">
        <v>58</v>
      </c>
      <c r="U91" s="2" t="s">
        <v>58</v>
      </c>
      <c r="V91" s="2"/>
      <c r="W91" s="2" t="s">
        <v>73</v>
      </c>
      <c r="X91" s="2" t="s">
        <v>73</v>
      </c>
      <c r="Y91" s="2" t="s">
        <v>61</v>
      </c>
      <c r="Z91" s="2" t="s">
        <v>61</v>
      </c>
      <c r="AA91" s="2"/>
      <c r="AB91" s="2" t="s">
        <v>74</v>
      </c>
      <c r="AC91" s="2" t="s">
        <v>74</v>
      </c>
      <c r="AD91" s="2" t="s">
        <v>82</v>
      </c>
      <c r="AE91" s="2" t="s">
        <v>439</v>
      </c>
      <c r="AF91" s="2" t="s">
        <v>63</v>
      </c>
      <c r="AG91" s="2"/>
      <c r="AH91" s="2" t="s">
        <v>440</v>
      </c>
      <c r="AI91" s="2" t="s">
        <v>262</v>
      </c>
      <c r="AJ91" s="2" t="s">
        <v>124</v>
      </c>
      <c r="AK91" s="2" t="s">
        <v>441</v>
      </c>
      <c r="AL91" s="2" t="s">
        <v>82</v>
      </c>
      <c r="AM91" s="2" t="s">
        <v>82</v>
      </c>
      <c r="AN91" s="2" t="s">
        <v>82</v>
      </c>
      <c r="AO91" s="2"/>
      <c r="AP91" s="2"/>
      <c r="AQ91" s="7">
        <v>7.0</v>
      </c>
      <c r="AR91" s="7">
        <v>5.0</v>
      </c>
      <c r="AS91" s="7"/>
      <c r="AT91" s="8"/>
      <c r="AU91" s="8"/>
      <c r="AV91" s="8"/>
      <c r="AW91" s="8"/>
      <c r="AX91" s="8"/>
      <c r="AY91" s="8">
        <v>0.0</v>
      </c>
      <c r="AZ91" s="9">
        <f t="shared" si="6"/>
        <v>6</v>
      </c>
    </row>
    <row r="92">
      <c r="A92" s="4">
        <v>42653.80806309028</v>
      </c>
      <c r="B92" s="5">
        <v>34711.0</v>
      </c>
      <c r="C92" s="2" t="s">
        <v>161</v>
      </c>
      <c r="D92" s="2" t="s">
        <v>47</v>
      </c>
      <c r="E92" s="2" t="s">
        <v>48</v>
      </c>
      <c r="F92" s="2" t="s">
        <v>442</v>
      </c>
      <c r="G92" s="2"/>
      <c r="H92" s="2" t="s">
        <v>443</v>
      </c>
      <c r="I92" s="2" t="s">
        <v>51</v>
      </c>
      <c r="J92" s="2" t="s">
        <v>111</v>
      </c>
      <c r="K92" s="2" t="s">
        <v>53</v>
      </c>
      <c r="L92" s="2" t="s">
        <v>69</v>
      </c>
      <c r="M92" s="2" t="s">
        <v>55</v>
      </c>
      <c r="N92" s="2" t="s">
        <v>113</v>
      </c>
      <c r="O92" s="2" t="s">
        <v>444</v>
      </c>
      <c r="P92" s="4">
        <v>26769.80806712963</v>
      </c>
      <c r="Q92" s="5">
        <v>18827.80806712963</v>
      </c>
      <c r="R92" s="2" t="s">
        <v>57</v>
      </c>
      <c r="S92" s="2" t="s">
        <v>73</v>
      </c>
      <c r="T92" s="2" t="s">
        <v>58</v>
      </c>
      <c r="U92" s="2" t="s">
        <v>58</v>
      </c>
      <c r="V92" s="2"/>
      <c r="W92" s="2" t="s">
        <v>59</v>
      </c>
      <c r="X92" s="2" t="s">
        <v>170</v>
      </c>
      <c r="Y92" s="2" t="s">
        <v>61</v>
      </c>
      <c r="Z92" s="2" t="s">
        <v>101</v>
      </c>
      <c r="AA92" s="2" t="s">
        <v>62</v>
      </c>
      <c r="AB92" s="2" t="s">
        <v>74</v>
      </c>
      <c r="AC92" s="2" t="s">
        <v>63</v>
      </c>
      <c r="AD92" s="2" t="s">
        <v>82</v>
      </c>
      <c r="AE92" s="2"/>
      <c r="AF92" s="2" t="s">
        <v>63</v>
      </c>
      <c r="AG92" s="2" t="s">
        <v>191</v>
      </c>
      <c r="AH92" s="2" t="s">
        <v>445</v>
      </c>
      <c r="AI92" s="2" t="s">
        <v>290</v>
      </c>
      <c r="AJ92" s="2" t="s">
        <v>124</v>
      </c>
      <c r="AK92" s="2" t="s">
        <v>130</v>
      </c>
      <c r="AL92" s="2" t="s">
        <v>82</v>
      </c>
      <c r="AM92" s="2" t="s">
        <v>82</v>
      </c>
      <c r="AN92" s="2" t="s">
        <v>82</v>
      </c>
      <c r="AO92" s="7">
        <v>6.0</v>
      </c>
      <c r="AP92" s="7">
        <v>7.0</v>
      </c>
      <c r="AQ92" s="7">
        <v>7.0</v>
      </c>
      <c r="AR92" s="7">
        <v>6.0</v>
      </c>
      <c r="AS92" s="7"/>
      <c r="AT92" s="8"/>
      <c r="AU92" s="8"/>
      <c r="AV92" s="8"/>
      <c r="AW92" s="8"/>
      <c r="AX92" s="8"/>
      <c r="AY92" s="8">
        <v>0.0</v>
      </c>
      <c r="AZ92" s="9">
        <f t="shared" si="6"/>
        <v>6.5</v>
      </c>
    </row>
    <row r="93">
      <c r="A93" s="4">
        <v>42653.808306562496</v>
      </c>
      <c r="B93" s="5">
        <v>35626.0</v>
      </c>
      <c r="C93" s="2" t="s">
        <v>161</v>
      </c>
      <c r="D93" s="2" t="s">
        <v>47</v>
      </c>
      <c r="E93" s="2" t="s">
        <v>48</v>
      </c>
      <c r="F93" s="2" t="s">
        <v>370</v>
      </c>
      <c r="G93" s="2"/>
      <c r="H93" s="2" t="s">
        <v>66</v>
      </c>
      <c r="I93" s="2" t="s">
        <v>51</v>
      </c>
      <c r="J93" s="2" t="s">
        <v>111</v>
      </c>
      <c r="K93" s="2" t="s">
        <v>53</v>
      </c>
      <c r="L93" s="2" t="s">
        <v>84</v>
      </c>
      <c r="M93" s="2" t="s">
        <v>446</v>
      </c>
      <c r="N93" s="2" t="s">
        <v>96</v>
      </c>
      <c r="O93" s="2" t="s">
        <v>97</v>
      </c>
      <c r="P93" s="4">
        <v>28599.808310185184</v>
      </c>
      <c r="Q93" s="5">
        <v>21572.808310185184</v>
      </c>
      <c r="R93" s="2" t="s">
        <v>57</v>
      </c>
      <c r="S93" s="2" t="s">
        <v>73</v>
      </c>
      <c r="T93" s="2" t="s">
        <v>58</v>
      </c>
      <c r="U93" s="2" t="s">
        <v>58</v>
      </c>
      <c r="V93" s="2"/>
      <c r="W93" s="2" t="s">
        <v>100</v>
      </c>
      <c r="X93" s="2" t="s">
        <v>170</v>
      </c>
      <c r="Y93" s="2" t="s">
        <v>60</v>
      </c>
      <c r="Z93" s="2" t="s">
        <v>61</v>
      </c>
      <c r="AA93" s="2" t="s">
        <v>62</v>
      </c>
      <c r="AB93" s="2" t="s">
        <v>63</v>
      </c>
      <c r="AC93" s="2" t="s">
        <v>74</v>
      </c>
      <c r="AD93" s="2" t="s">
        <v>82</v>
      </c>
      <c r="AE93" s="2"/>
      <c r="AF93" s="2" t="s">
        <v>63</v>
      </c>
      <c r="AG93" s="2" t="s">
        <v>447</v>
      </c>
      <c r="AH93" s="2" t="s">
        <v>448</v>
      </c>
      <c r="AI93" s="2" t="s">
        <v>139</v>
      </c>
      <c r="AJ93" s="2" t="s">
        <v>79</v>
      </c>
      <c r="AK93" s="2" t="s">
        <v>279</v>
      </c>
      <c r="AL93" s="2" t="s">
        <v>75</v>
      </c>
      <c r="AM93" s="2" t="s">
        <v>75</v>
      </c>
      <c r="AN93" s="2" t="s">
        <v>82</v>
      </c>
      <c r="AO93" s="7">
        <v>10.0</v>
      </c>
      <c r="AP93" s="2"/>
      <c r="AQ93" s="7">
        <v>8.0</v>
      </c>
      <c r="AR93" s="7">
        <v>7.0</v>
      </c>
      <c r="AS93" s="7"/>
      <c r="AT93" s="8"/>
      <c r="AU93" s="8"/>
      <c r="AV93" s="8"/>
      <c r="AW93" s="8"/>
      <c r="AX93" s="8"/>
      <c r="AY93" s="8">
        <v>0.0</v>
      </c>
      <c r="AZ93" s="9">
        <f t="shared" si="6"/>
        <v>8.333333333</v>
      </c>
    </row>
    <row r="94">
      <c r="A94" s="4">
        <v>42653.808413032406</v>
      </c>
      <c r="B94" s="5">
        <v>42653.0</v>
      </c>
      <c r="C94" s="2" t="s">
        <v>161</v>
      </c>
      <c r="D94" s="2" t="s">
        <v>47</v>
      </c>
      <c r="E94" s="2" t="s">
        <v>449</v>
      </c>
      <c r="F94" s="2" t="s">
        <v>390</v>
      </c>
      <c r="G94" s="2"/>
      <c r="H94" s="2" t="s">
        <v>120</v>
      </c>
      <c r="I94" s="2" t="s">
        <v>51</v>
      </c>
      <c r="J94" s="2" t="s">
        <v>52</v>
      </c>
      <c r="K94" s="2" t="s">
        <v>143</v>
      </c>
      <c r="L94" s="2" t="s">
        <v>95</v>
      </c>
      <c r="M94" s="2" t="s">
        <v>85</v>
      </c>
      <c r="N94" s="2" t="s">
        <v>86</v>
      </c>
      <c r="O94" s="2" t="s">
        <v>168</v>
      </c>
      <c r="P94" s="4">
        <v>42653.80841435185</v>
      </c>
      <c r="Q94" s="5">
        <v>42653.80841435185</v>
      </c>
      <c r="R94" s="2" t="s">
        <v>73</v>
      </c>
      <c r="S94" s="2" t="s">
        <v>73</v>
      </c>
      <c r="T94" s="2" t="s">
        <v>58</v>
      </c>
      <c r="U94" s="2" t="s">
        <v>58</v>
      </c>
      <c r="V94" s="2" t="s">
        <v>450</v>
      </c>
      <c r="W94" s="2" t="s">
        <v>59</v>
      </c>
      <c r="X94" s="2" t="s">
        <v>170</v>
      </c>
      <c r="Y94" s="2" t="s">
        <v>60</v>
      </c>
      <c r="Z94" s="2" t="s">
        <v>101</v>
      </c>
      <c r="AA94" s="2" t="s">
        <v>62</v>
      </c>
      <c r="AB94" s="2" t="s">
        <v>74</v>
      </c>
      <c r="AC94" s="2" t="s">
        <v>74</v>
      </c>
      <c r="AD94" s="2" t="s">
        <v>75</v>
      </c>
      <c r="AE94" s="2"/>
      <c r="AF94" s="2" t="s">
        <v>63</v>
      </c>
      <c r="AG94" s="7">
        <v>14.0</v>
      </c>
      <c r="AH94" s="7">
        <v>7.0</v>
      </c>
      <c r="AI94" s="2" t="s">
        <v>252</v>
      </c>
      <c r="AJ94" s="2" t="s">
        <v>79</v>
      </c>
      <c r="AK94" s="7">
        <v>7.0</v>
      </c>
      <c r="AL94" s="2" t="s">
        <v>82</v>
      </c>
      <c r="AM94" s="2" t="s">
        <v>75</v>
      </c>
      <c r="AN94" s="2" t="s">
        <v>75</v>
      </c>
      <c r="AO94" s="7">
        <v>5.0</v>
      </c>
      <c r="AP94" s="7">
        <v>5.0</v>
      </c>
      <c r="AQ94" s="7">
        <v>8.0</v>
      </c>
      <c r="AR94" s="7">
        <v>5.0</v>
      </c>
      <c r="AS94" s="7"/>
      <c r="AT94" s="8"/>
      <c r="AU94" s="8"/>
      <c r="AV94" s="8"/>
      <c r="AW94" s="8"/>
      <c r="AX94" s="8"/>
      <c r="AY94" s="8">
        <v>0.0</v>
      </c>
      <c r="AZ94" s="9">
        <f t="shared" si="6"/>
        <v>5.75</v>
      </c>
    </row>
    <row r="95">
      <c r="A95" s="4">
        <v>42653.80885252314</v>
      </c>
      <c r="B95" s="5">
        <v>35413.0</v>
      </c>
      <c r="C95" s="2" t="s">
        <v>161</v>
      </c>
      <c r="D95" s="2" t="s">
        <v>47</v>
      </c>
      <c r="E95" s="2" t="s">
        <v>451</v>
      </c>
      <c r="F95" s="2" t="s">
        <v>452</v>
      </c>
      <c r="G95" s="2"/>
      <c r="H95" s="2" t="s">
        <v>453</v>
      </c>
      <c r="I95" s="2" t="s">
        <v>51</v>
      </c>
      <c r="J95" s="2" t="s">
        <v>111</v>
      </c>
      <c r="K95" s="2" t="s">
        <v>53</v>
      </c>
      <c r="L95" s="2" t="s">
        <v>69</v>
      </c>
      <c r="M95" s="2" t="s">
        <v>70</v>
      </c>
      <c r="N95" s="2" t="s">
        <v>86</v>
      </c>
      <c r="O95" s="2" t="s">
        <v>97</v>
      </c>
      <c r="P95" s="4">
        <v>28173.808854166666</v>
      </c>
      <c r="Q95" s="5">
        <v>20933.808854166666</v>
      </c>
      <c r="R95" s="2" t="s">
        <v>100</v>
      </c>
      <c r="S95" s="2" t="s">
        <v>73</v>
      </c>
      <c r="T95" s="2" t="s">
        <v>58</v>
      </c>
      <c r="U95" s="2" t="s">
        <v>58</v>
      </c>
      <c r="V95" s="2"/>
      <c r="W95" s="2" t="s">
        <v>59</v>
      </c>
      <c r="X95" s="2" t="s">
        <v>57</v>
      </c>
      <c r="Y95" s="2" t="s">
        <v>61</v>
      </c>
      <c r="Z95" s="2" t="s">
        <v>61</v>
      </c>
      <c r="AA95" s="2"/>
      <c r="AB95" s="2" t="s">
        <v>74</v>
      </c>
      <c r="AC95" s="2" t="s">
        <v>74</v>
      </c>
      <c r="AD95" s="2" t="s">
        <v>93</v>
      </c>
      <c r="AE95" s="2"/>
      <c r="AF95" s="2" t="s">
        <v>63</v>
      </c>
      <c r="AG95" s="2" t="s">
        <v>454</v>
      </c>
      <c r="AH95" s="2" t="s">
        <v>455</v>
      </c>
      <c r="AI95" s="2" t="s">
        <v>407</v>
      </c>
      <c r="AJ95" s="2" t="s">
        <v>124</v>
      </c>
      <c r="AK95" s="2" t="s">
        <v>456</v>
      </c>
      <c r="AL95" s="2" t="s">
        <v>82</v>
      </c>
      <c r="AM95" s="2" t="s">
        <v>75</v>
      </c>
      <c r="AN95" s="2" t="s">
        <v>82</v>
      </c>
      <c r="AO95" s="7">
        <v>5.0</v>
      </c>
      <c r="AP95" s="7">
        <v>6.0</v>
      </c>
      <c r="AQ95" s="7">
        <v>5.0</v>
      </c>
      <c r="AR95" s="7">
        <v>5.0</v>
      </c>
      <c r="AS95" s="7"/>
      <c r="AT95" s="8"/>
      <c r="AU95" s="8"/>
      <c r="AV95" s="8"/>
      <c r="AW95" s="8"/>
      <c r="AX95" s="8"/>
      <c r="AY95" s="8">
        <v>2.0</v>
      </c>
      <c r="AZ95" s="9">
        <f t="shared" si="6"/>
        <v>5.25</v>
      </c>
    </row>
    <row r="96">
      <c r="A96" s="4">
        <v>42653.809401273145</v>
      </c>
      <c r="B96" s="5">
        <v>35096.0</v>
      </c>
      <c r="C96" s="2" t="s">
        <v>161</v>
      </c>
      <c r="D96" s="2" t="s">
        <v>47</v>
      </c>
      <c r="E96" s="2" t="s">
        <v>457</v>
      </c>
      <c r="F96" s="2"/>
      <c r="G96" s="2"/>
      <c r="H96" s="2" t="s">
        <v>66</v>
      </c>
      <c r="I96" s="2" t="s">
        <v>51</v>
      </c>
      <c r="J96" s="2" t="s">
        <v>68</v>
      </c>
      <c r="K96" s="2" t="s">
        <v>53</v>
      </c>
      <c r="L96" s="2" t="s">
        <v>54</v>
      </c>
      <c r="M96" s="2" t="s">
        <v>55</v>
      </c>
      <c r="N96" s="2"/>
      <c r="O96" s="2" t="s">
        <v>97</v>
      </c>
      <c r="P96" s="4">
        <v>27539.809398148147</v>
      </c>
      <c r="Q96" s="5">
        <v>19982.809398148147</v>
      </c>
      <c r="R96" s="2" t="s">
        <v>73</v>
      </c>
      <c r="S96" s="2" t="s">
        <v>100</v>
      </c>
      <c r="T96" s="2" t="s">
        <v>57</v>
      </c>
      <c r="U96" s="2" t="s">
        <v>57</v>
      </c>
      <c r="V96" s="2"/>
      <c r="W96" s="2" t="s">
        <v>100</v>
      </c>
      <c r="X96" s="2" t="s">
        <v>100</v>
      </c>
      <c r="Y96" s="2" t="s">
        <v>61</v>
      </c>
      <c r="Z96" s="2" t="s">
        <v>61</v>
      </c>
      <c r="AA96" s="2" t="s">
        <v>62</v>
      </c>
      <c r="AB96" s="2" t="s">
        <v>63</v>
      </c>
      <c r="AC96" s="2" t="s">
        <v>74</v>
      </c>
      <c r="AD96" s="2" t="s">
        <v>93</v>
      </c>
      <c r="AE96" s="2"/>
      <c r="AF96" s="2" t="s">
        <v>63</v>
      </c>
      <c r="AG96" s="2"/>
      <c r="AH96" s="2"/>
      <c r="AI96" s="2"/>
      <c r="AJ96" s="2" t="s">
        <v>79</v>
      </c>
      <c r="AK96" s="2"/>
      <c r="AL96" s="2" t="s">
        <v>75</v>
      </c>
      <c r="AM96" s="2" t="s">
        <v>81</v>
      </c>
      <c r="AN96" s="2" t="s">
        <v>75</v>
      </c>
      <c r="AO96" s="7">
        <v>10.0</v>
      </c>
      <c r="AP96" s="7">
        <v>8.0</v>
      </c>
      <c r="AQ96" s="7">
        <v>10.0</v>
      </c>
      <c r="AR96" s="7">
        <v>5.0</v>
      </c>
      <c r="AS96" s="7"/>
      <c r="AT96" s="8"/>
      <c r="AU96" s="8"/>
      <c r="AV96" s="8"/>
      <c r="AW96" s="8"/>
      <c r="AX96" s="8"/>
      <c r="AY96" s="8">
        <v>0.0</v>
      </c>
      <c r="AZ96" s="9">
        <f t="shared" si="6"/>
        <v>8.25</v>
      </c>
    </row>
    <row r="97">
      <c r="A97" s="4">
        <v>42653.809947800924</v>
      </c>
      <c r="B97" s="5">
        <v>35484.0</v>
      </c>
      <c r="C97" s="2" t="s">
        <v>161</v>
      </c>
      <c r="D97" s="2" t="s">
        <v>47</v>
      </c>
      <c r="E97" s="2" t="s">
        <v>106</v>
      </c>
      <c r="F97" s="2" t="s">
        <v>458</v>
      </c>
      <c r="G97" s="2"/>
      <c r="H97" s="2" t="s">
        <v>459</v>
      </c>
      <c r="I97" s="2" t="s">
        <v>51</v>
      </c>
      <c r="J97" s="2" t="s">
        <v>68</v>
      </c>
      <c r="K97" s="2" t="s">
        <v>53</v>
      </c>
      <c r="L97" s="2" t="s">
        <v>84</v>
      </c>
      <c r="M97" s="2" t="s">
        <v>55</v>
      </c>
      <c r="N97" s="2" t="s">
        <v>113</v>
      </c>
      <c r="O97" s="2" t="s">
        <v>97</v>
      </c>
      <c r="P97" s="4">
        <v>28315.80994212963</v>
      </c>
      <c r="Q97" s="5">
        <v>21146.80994212963</v>
      </c>
      <c r="R97" s="2" t="s">
        <v>73</v>
      </c>
      <c r="S97" s="2" t="s">
        <v>57</v>
      </c>
      <c r="T97" s="2" t="s">
        <v>58</v>
      </c>
      <c r="U97" s="2" t="s">
        <v>58</v>
      </c>
      <c r="V97" s="2"/>
      <c r="W97" s="2" t="s">
        <v>57</v>
      </c>
      <c r="X97" s="2" t="s">
        <v>57</v>
      </c>
      <c r="Y97" s="2" t="s">
        <v>61</v>
      </c>
      <c r="Z97" s="2" t="s">
        <v>61</v>
      </c>
      <c r="AA97" s="2" t="s">
        <v>62</v>
      </c>
      <c r="AB97" s="2" t="s">
        <v>74</v>
      </c>
      <c r="AC97" s="2" t="s">
        <v>74</v>
      </c>
      <c r="AD97" s="2" t="s">
        <v>82</v>
      </c>
      <c r="AE97" s="2" t="s">
        <v>460</v>
      </c>
      <c r="AF97" s="2" t="s">
        <v>63</v>
      </c>
      <c r="AG97" s="7">
        <v>14.0</v>
      </c>
      <c r="AH97" s="2" t="s">
        <v>461</v>
      </c>
      <c r="AI97" s="7">
        <v>10.0</v>
      </c>
      <c r="AJ97" s="2" t="s">
        <v>124</v>
      </c>
      <c r="AK97" s="7">
        <v>8.0</v>
      </c>
      <c r="AL97" s="2" t="s">
        <v>75</v>
      </c>
      <c r="AM97" s="2" t="s">
        <v>75</v>
      </c>
      <c r="AN97" s="2" t="s">
        <v>82</v>
      </c>
      <c r="AO97" s="2"/>
      <c r="AP97" s="2"/>
      <c r="AQ97" s="2"/>
      <c r="AR97" s="2"/>
      <c r="AS97" s="7"/>
      <c r="AT97" s="8"/>
      <c r="AU97" s="8"/>
      <c r="AV97" s="8"/>
      <c r="AW97" s="8"/>
      <c r="AX97" s="8"/>
      <c r="AY97" s="8">
        <v>0.0</v>
      </c>
      <c r="AZ97" s="9"/>
    </row>
    <row r="98">
      <c r="A98" s="4">
        <v>42653.81238018518</v>
      </c>
      <c r="B98" s="5">
        <v>35153.0</v>
      </c>
      <c r="C98" s="2" t="s">
        <v>161</v>
      </c>
      <c r="D98" s="2" t="s">
        <v>47</v>
      </c>
      <c r="E98" s="2" t="s">
        <v>48</v>
      </c>
      <c r="F98" s="2" t="s">
        <v>462</v>
      </c>
      <c r="G98" s="2"/>
      <c r="H98" s="2" t="s">
        <v>463</v>
      </c>
      <c r="I98" s="2" t="s">
        <v>142</v>
      </c>
      <c r="J98" s="2" t="s">
        <v>68</v>
      </c>
      <c r="K98" s="2" t="s">
        <v>53</v>
      </c>
      <c r="L98" s="2" t="s">
        <v>69</v>
      </c>
      <c r="M98" s="2" t="s">
        <v>55</v>
      </c>
      <c r="N98" s="2" t="s">
        <v>113</v>
      </c>
      <c r="O98" s="2" t="s">
        <v>72</v>
      </c>
      <c r="P98" s="4">
        <v>27653.812384259258</v>
      </c>
      <c r="Q98" s="5">
        <v>20153.812384259258</v>
      </c>
      <c r="R98" s="2" t="s">
        <v>100</v>
      </c>
      <c r="S98" s="2" t="s">
        <v>57</v>
      </c>
      <c r="T98" s="2" t="s">
        <v>58</v>
      </c>
      <c r="U98" s="2" t="s">
        <v>58</v>
      </c>
      <c r="V98" s="2" t="s">
        <v>464</v>
      </c>
      <c r="W98" s="2" t="s">
        <v>59</v>
      </c>
      <c r="X98" s="2" t="s">
        <v>170</v>
      </c>
      <c r="Y98" s="2" t="s">
        <v>61</v>
      </c>
      <c r="Z98" s="2" t="s">
        <v>61</v>
      </c>
      <c r="AA98" s="2"/>
      <c r="AB98" s="2" t="s">
        <v>63</v>
      </c>
      <c r="AC98" s="2" t="s">
        <v>74</v>
      </c>
      <c r="AD98" s="2" t="s">
        <v>75</v>
      </c>
      <c r="AE98" s="2"/>
      <c r="AF98" s="2" t="s">
        <v>63</v>
      </c>
      <c r="AG98" s="7">
        <v>13.0</v>
      </c>
      <c r="AH98" s="2" t="s">
        <v>465</v>
      </c>
      <c r="AI98" s="2" t="s">
        <v>222</v>
      </c>
      <c r="AJ98" s="2" t="s">
        <v>124</v>
      </c>
      <c r="AK98" s="2" t="s">
        <v>369</v>
      </c>
      <c r="AL98" s="2" t="s">
        <v>82</v>
      </c>
      <c r="AM98" s="2" t="s">
        <v>82</v>
      </c>
      <c r="AN98" s="2" t="s">
        <v>82</v>
      </c>
      <c r="AO98" s="7">
        <v>7.0</v>
      </c>
      <c r="AP98" s="7">
        <v>6.0</v>
      </c>
      <c r="AQ98" s="7">
        <v>7.0</v>
      </c>
      <c r="AR98" s="7">
        <v>5.0</v>
      </c>
      <c r="AS98" s="7"/>
      <c r="AT98" s="8"/>
      <c r="AU98" s="8"/>
      <c r="AV98" s="8"/>
      <c r="AW98" s="8"/>
      <c r="AX98" s="8"/>
      <c r="AY98" s="8">
        <v>0.0</v>
      </c>
      <c r="AZ98" s="9">
        <f t="shared" ref="AZ98:AZ100" si="7">AVERAGE(AO98:AR98)</f>
        <v>6.25</v>
      </c>
    </row>
    <row r="99">
      <c r="A99" s="4">
        <v>42654.73132684028</v>
      </c>
      <c r="B99" s="5">
        <v>35301.0</v>
      </c>
      <c r="C99" s="2" t="s">
        <v>161</v>
      </c>
      <c r="D99" s="2" t="s">
        <v>47</v>
      </c>
      <c r="E99" s="2" t="s">
        <v>48</v>
      </c>
      <c r="F99" s="2" t="s">
        <v>372</v>
      </c>
      <c r="G99" s="2"/>
      <c r="H99" s="2" t="s">
        <v>66</v>
      </c>
      <c r="I99" s="2" t="s">
        <v>51</v>
      </c>
      <c r="J99" s="2" t="s">
        <v>68</v>
      </c>
      <c r="K99" s="2"/>
      <c r="L99" s="2" t="s">
        <v>69</v>
      </c>
      <c r="M99" s="2" t="s">
        <v>55</v>
      </c>
      <c r="N99" s="2" t="s">
        <v>113</v>
      </c>
      <c r="O99" s="2" t="s">
        <v>174</v>
      </c>
      <c r="P99" s="4">
        <v>27948.73133101852</v>
      </c>
      <c r="Q99" s="5">
        <v>20595.73133101852</v>
      </c>
      <c r="R99" s="2" t="s">
        <v>73</v>
      </c>
      <c r="S99" s="2" t="s">
        <v>73</v>
      </c>
      <c r="T99" s="2" t="s">
        <v>58</v>
      </c>
      <c r="U99" s="2" t="s">
        <v>58</v>
      </c>
      <c r="V99" s="2"/>
      <c r="W99" s="2" t="s">
        <v>73</v>
      </c>
      <c r="X99" s="2" t="s">
        <v>170</v>
      </c>
      <c r="Y99" s="2" t="s">
        <v>61</v>
      </c>
      <c r="Z99" s="2" t="s">
        <v>60</v>
      </c>
      <c r="AA99" s="2" t="s">
        <v>62</v>
      </c>
      <c r="AB99" s="2" t="s">
        <v>63</v>
      </c>
      <c r="AC99" s="2" t="s">
        <v>74</v>
      </c>
      <c r="AD99" s="2" t="s">
        <v>75</v>
      </c>
      <c r="AE99" s="2"/>
      <c r="AF99" s="2" t="s">
        <v>63</v>
      </c>
      <c r="AG99" s="7">
        <v>14.0</v>
      </c>
      <c r="AH99" s="2" t="s">
        <v>466</v>
      </c>
      <c r="AI99" s="2" t="s">
        <v>295</v>
      </c>
      <c r="AJ99" s="2" t="s">
        <v>79</v>
      </c>
      <c r="AK99" s="2" t="s">
        <v>435</v>
      </c>
      <c r="AL99" s="2" t="s">
        <v>82</v>
      </c>
      <c r="AM99" s="2" t="s">
        <v>75</v>
      </c>
      <c r="AN99" s="2" t="s">
        <v>82</v>
      </c>
      <c r="AO99" s="7">
        <v>9.0</v>
      </c>
      <c r="AP99" s="7">
        <v>6.0</v>
      </c>
      <c r="AQ99" s="7">
        <v>8.0</v>
      </c>
      <c r="AR99" s="7">
        <v>5.0</v>
      </c>
      <c r="AS99" s="7"/>
      <c r="AT99" s="8"/>
      <c r="AU99" s="8"/>
      <c r="AV99" s="8"/>
      <c r="AW99" s="8"/>
      <c r="AX99" s="8"/>
      <c r="AY99" s="8">
        <v>1.0</v>
      </c>
      <c r="AZ99" s="9">
        <f t="shared" si="7"/>
        <v>7</v>
      </c>
    </row>
    <row r="100">
      <c r="A100" s="4">
        <v>42654.732222418985</v>
      </c>
      <c r="B100" s="5">
        <v>35277.0</v>
      </c>
      <c r="C100" s="2" t="s">
        <v>161</v>
      </c>
      <c r="D100" s="2" t="s">
        <v>47</v>
      </c>
      <c r="E100" s="2" t="s">
        <v>48</v>
      </c>
      <c r="F100" s="2" t="s">
        <v>155</v>
      </c>
      <c r="G100" s="2"/>
      <c r="H100" s="2" t="s">
        <v>66</v>
      </c>
      <c r="I100" s="2" t="s">
        <v>51</v>
      </c>
      <c r="J100" s="2" t="s">
        <v>52</v>
      </c>
      <c r="K100" s="2" t="s">
        <v>53</v>
      </c>
      <c r="L100" s="2" t="s">
        <v>84</v>
      </c>
      <c r="M100" s="2" t="s">
        <v>55</v>
      </c>
      <c r="N100" s="2" t="s">
        <v>113</v>
      </c>
      <c r="O100" s="2" t="s">
        <v>97</v>
      </c>
      <c r="P100" s="4">
        <v>27900.73222222222</v>
      </c>
      <c r="Q100" s="5">
        <v>20523.73222222222</v>
      </c>
      <c r="R100" s="2" t="s">
        <v>57</v>
      </c>
      <c r="S100" s="2" t="s">
        <v>57</v>
      </c>
      <c r="T100" s="2" t="s">
        <v>58</v>
      </c>
      <c r="U100" s="2" t="s">
        <v>58</v>
      </c>
      <c r="V100" s="2"/>
      <c r="W100" s="2" t="s">
        <v>100</v>
      </c>
      <c r="X100" s="2" t="s">
        <v>57</v>
      </c>
      <c r="Y100" s="2" t="s">
        <v>61</v>
      </c>
      <c r="Z100" s="2" t="s">
        <v>61</v>
      </c>
      <c r="AA100" s="2" t="s">
        <v>62</v>
      </c>
      <c r="AB100" s="2" t="s">
        <v>63</v>
      </c>
      <c r="AC100" s="2" t="s">
        <v>74</v>
      </c>
      <c r="AD100" s="2" t="s">
        <v>81</v>
      </c>
      <c r="AE100" s="2"/>
      <c r="AF100" s="2" t="s">
        <v>63</v>
      </c>
      <c r="AG100" s="2"/>
      <c r="AH100" s="2"/>
      <c r="AI100" s="2"/>
      <c r="AJ100" s="2" t="s">
        <v>124</v>
      </c>
      <c r="AK100" s="2"/>
      <c r="AL100" s="2" t="s">
        <v>82</v>
      </c>
      <c r="AM100" s="2" t="s">
        <v>93</v>
      </c>
      <c r="AN100" s="2" t="s">
        <v>75</v>
      </c>
      <c r="AO100" s="7">
        <v>9.0</v>
      </c>
      <c r="AP100" s="7">
        <v>9.0</v>
      </c>
      <c r="AQ100" s="7">
        <v>8.0</v>
      </c>
      <c r="AR100" s="7">
        <v>9.0</v>
      </c>
      <c r="AS100" s="7"/>
      <c r="AT100" s="8"/>
      <c r="AU100" s="8"/>
      <c r="AV100" s="8"/>
      <c r="AW100" s="8"/>
      <c r="AX100" s="8"/>
      <c r="AY100" s="8">
        <v>0.0</v>
      </c>
      <c r="AZ100" s="9">
        <f t="shared" si="7"/>
        <v>8.75</v>
      </c>
    </row>
    <row r="101">
      <c r="A101" s="4">
        <v>42654.73269416667</v>
      </c>
      <c r="B101" s="5">
        <v>35280.0</v>
      </c>
      <c r="C101" s="2" t="s">
        <v>161</v>
      </c>
      <c r="D101" s="2" t="s">
        <v>47</v>
      </c>
      <c r="E101" s="2" t="s">
        <v>48</v>
      </c>
      <c r="F101" s="2" t="s">
        <v>467</v>
      </c>
      <c r="G101" s="2"/>
      <c r="H101" s="2" t="s">
        <v>66</v>
      </c>
      <c r="I101" s="2" t="s">
        <v>468</v>
      </c>
      <c r="J101" s="2" t="s">
        <v>52</v>
      </c>
      <c r="K101" s="2" t="s">
        <v>143</v>
      </c>
      <c r="L101" s="2" t="s">
        <v>95</v>
      </c>
      <c r="M101" s="2" t="s">
        <v>55</v>
      </c>
      <c r="N101" s="2" t="s">
        <v>113</v>
      </c>
      <c r="O101" s="2" t="s">
        <v>97</v>
      </c>
      <c r="P101" s="4">
        <v>27906.73269675926</v>
      </c>
      <c r="Q101" s="5">
        <v>20532.73269675926</v>
      </c>
      <c r="R101" s="2" t="s">
        <v>159</v>
      </c>
      <c r="S101" s="2" t="s">
        <v>100</v>
      </c>
      <c r="T101" s="2" t="s">
        <v>58</v>
      </c>
      <c r="U101" s="2" t="s">
        <v>58</v>
      </c>
      <c r="V101" s="2"/>
      <c r="W101" s="2" t="s">
        <v>59</v>
      </c>
      <c r="X101" s="2" t="s">
        <v>170</v>
      </c>
      <c r="Y101" s="2" t="s">
        <v>61</v>
      </c>
      <c r="Z101" s="2" t="s">
        <v>61</v>
      </c>
      <c r="AA101" s="2" t="s">
        <v>62</v>
      </c>
      <c r="AB101" s="2" t="s">
        <v>63</v>
      </c>
      <c r="AC101" s="2" t="s">
        <v>74</v>
      </c>
      <c r="AD101" s="2" t="s">
        <v>82</v>
      </c>
      <c r="AE101" s="2"/>
      <c r="AF101" s="2" t="s">
        <v>63</v>
      </c>
      <c r="AG101" s="2"/>
      <c r="AH101" s="2"/>
      <c r="AI101" s="2"/>
      <c r="AJ101" s="2" t="s">
        <v>79</v>
      </c>
      <c r="AK101" s="2"/>
      <c r="AL101" s="2" t="s">
        <v>75</v>
      </c>
      <c r="AM101" s="2" t="s">
        <v>75</v>
      </c>
      <c r="AN101" s="2" t="s">
        <v>82</v>
      </c>
      <c r="AO101" s="2"/>
      <c r="AP101" s="2"/>
      <c r="AQ101" s="2"/>
      <c r="AR101" s="2"/>
      <c r="AS101" s="2"/>
      <c r="AT101" s="9"/>
      <c r="AU101" s="9"/>
      <c r="AV101" s="9"/>
      <c r="AW101" s="9"/>
      <c r="AX101" s="9"/>
      <c r="AY101" s="9"/>
      <c r="AZ101" s="9"/>
    </row>
    <row r="102">
      <c r="A102" s="4">
        <v>42654.734287071755</v>
      </c>
      <c r="B102" s="5">
        <v>35143.0</v>
      </c>
      <c r="C102" s="2" t="s">
        <v>161</v>
      </c>
      <c r="D102" s="2" t="s">
        <v>47</v>
      </c>
      <c r="E102" s="2" t="s">
        <v>48</v>
      </c>
      <c r="F102" s="2" t="s">
        <v>469</v>
      </c>
      <c r="G102" s="2"/>
      <c r="H102" s="2" t="s">
        <v>66</v>
      </c>
      <c r="I102" s="2" t="s">
        <v>51</v>
      </c>
      <c r="J102" s="2" t="s">
        <v>52</v>
      </c>
      <c r="K102" s="2" t="s">
        <v>143</v>
      </c>
      <c r="L102" s="2" t="s">
        <v>144</v>
      </c>
      <c r="M102" s="2" t="s">
        <v>55</v>
      </c>
      <c r="N102" s="2" t="s">
        <v>113</v>
      </c>
      <c r="O102" s="2" t="s">
        <v>97</v>
      </c>
      <c r="P102" s="4">
        <v>27632.734282407408</v>
      </c>
      <c r="Q102" s="5">
        <v>20121.734282407408</v>
      </c>
      <c r="R102" s="2" t="s">
        <v>73</v>
      </c>
      <c r="S102" s="2" t="s">
        <v>57</v>
      </c>
      <c r="T102" s="2" t="s">
        <v>58</v>
      </c>
      <c r="U102" s="2" t="s">
        <v>58</v>
      </c>
      <c r="V102" s="2"/>
      <c r="W102" s="2" t="s">
        <v>57</v>
      </c>
      <c r="X102" s="2" t="s">
        <v>170</v>
      </c>
      <c r="Y102" s="2" t="s">
        <v>61</v>
      </c>
      <c r="Z102" s="2" t="s">
        <v>60</v>
      </c>
      <c r="AA102" s="2" t="s">
        <v>62</v>
      </c>
      <c r="AB102" s="2" t="s">
        <v>63</v>
      </c>
      <c r="AC102" s="2" t="s">
        <v>74</v>
      </c>
      <c r="AD102" s="2" t="s">
        <v>75</v>
      </c>
      <c r="AE102" s="2" t="s">
        <v>470</v>
      </c>
      <c r="AF102" s="2" t="s">
        <v>63</v>
      </c>
      <c r="AG102" s="2" t="s">
        <v>471</v>
      </c>
      <c r="AH102" s="2" t="s">
        <v>472</v>
      </c>
      <c r="AI102" s="2" t="s">
        <v>365</v>
      </c>
      <c r="AJ102" s="2" t="s">
        <v>79</v>
      </c>
      <c r="AK102" s="2" t="s">
        <v>186</v>
      </c>
      <c r="AL102" s="2" t="s">
        <v>82</v>
      </c>
      <c r="AM102" s="2" t="s">
        <v>93</v>
      </c>
      <c r="AN102" s="2" t="s">
        <v>82</v>
      </c>
      <c r="AO102" s="7">
        <v>7.0</v>
      </c>
      <c r="AP102" s="7">
        <v>5.0</v>
      </c>
      <c r="AQ102" s="7">
        <v>6.0</v>
      </c>
      <c r="AR102" s="7">
        <v>6.0</v>
      </c>
      <c r="AS102" s="7"/>
      <c r="AT102" s="8"/>
      <c r="AU102" s="8"/>
      <c r="AV102" s="8"/>
      <c r="AW102" s="8"/>
      <c r="AX102" s="8"/>
      <c r="AY102" s="8">
        <v>1.0</v>
      </c>
      <c r="AZ102" s="9">
        <f t="shared" ref="AZ102:AZ129" si="8">AVERAGE(AO102:AR102)</f>
        <v>6</v>
      </c>
    </row>
    <row r="103">
      <c r="A103" s="4">
        <v>42654.73449037037</v>
      </c>
      <c r="B103" s="5">
        <v>35543.0</v>
      </c>
      <c r="C103" s="2" t="s">
        <v>161</v>
      </c>
      <c r="D103" s="2" t="s">
        <v>47</v>
      </c>
      <c r="E103" s="2" t="s">
        <v>106</v>
      </c>
      <c r="F103" s="2"/>
      <c r="G103" s="2"/>
      <c r="H103" s="2" t="s">
        <v>473</v>
      </c>
      <c r="I103" s="2" t="s">
        <v>51</v>
      </c>
      <c r="J103" s="2" t="s">
        <v>68</v>
      </c>
      <c r="K103" s="2" t="s">
        <v>53</v>
      </c>
      <c r="L103" s="2" t="s">
        <v>84</v>
      </c>
      <c r="M103" s="2" t="s">
        <v>55</v>
      </c>
      <c r="N103" s="2"/>
      <c r="O103" s="2" t="s">
        <v>97</v>
      </c>
      <c r="P103" s="4">
        <v>28432.734490740742</v>
      </c>
      <c r="Q103" s="5">
        <v>21321.734490740742</v>
      </c>
      <c r="R103" s="2" t="s">
        <v>73</v>
      </c>
      <c r="S103" s="2" t="s">
        <v>98</v>
      </c>
      <c r="T103" s="2" t="s">
        <v>58</v>
      </c>
      <c r="U103" s="2" t="s">
        <v>58</v>
      </c>
      <c r="V103" s="2"/>
      <c r="W103" s="2" t="s">
        <v>98</v>
      </c>
      <c r="X103" s="2" t="s">
        <v>170</v>
      </c>
      <c r="Y103" s="2" t="s">
        <v>60</v>
      </c>
      <c r="Z103" s="2" t="s">
        <v>60</v>
      </c>
      <c r="AA103" s="2" t="s">
        <v>62</v>
      </c>
      <c r="AB103" s="2" t="s">
        <v>63</v>
      </c>
      <c r="AC103" s="2" t="s">
        <v>74</v>
      </c>
      <c r="AD103" s="2" t="s">
        <v>75</v>
      </c>
      <c r="AE103" s="2"/>
      <c r="AF103" s="2" t="s">
        <v>63</v>
      </c>
      <c r="AG103" s="7">
        <v>15.0</v>
      </c>
      <c r="AH103" s="2" t="s">
        <v>130</v>
      </c>
      <c r="AI103" s="2" t="s">
        <v>245</v>
      </c>
      <c r="AJ103" s="2" t="s">
        <v>124</v>
      </c>
      <c r="AK103" s="7">
        <v>7.0</v>
      </c>
      <c r="AL103" s="2" t="s">
        <v>75</v>
      </c>
      <c r="AM103" s="2" t="s">
        <v>75</v>
      </c>
      <c r="AN103" s="2" t="s">
        <v>82</v>
      </c>
      <c r="AO103" s="7">
        <v>5.0</v>
      </c>
      <c r="AP103" s="7">
        <v>7.0</v>
      </c>
      <c r="AQ103" s="7">
        <v>6.0</v>
      </c>
      <c r="AR103" s="7">
        <v>7.0</v>
      </c>
      <c r="AS103" s="7"/>
      <c r="AT103" s="8"/>
      <c r="AU103" s="8"/>
      <c r="AV103" s="8"/>
      <c r="AW103" s="8"/>
      <c r="AX103" s="8"/>
      <c r="AY103" s="8">
        <v>0.0</v>
      </c>
      <c r="AZ103" s="9">
        <f t="shared" si="8"/>
        <v>6.25</v>
      </c>
    </row>
    <row r="104">
      <c r="A104" s="4">
        <v>42654.734523321764</v>
      </c>
      <c r="B104" s="5">
        <v>35005.0</v>
      </c>
      <c r="C104" s="2" t="s">
        <v>161</v>
      </c>
      <c r="D104" s="2" t="s">
        <v>47</v>
      </c>
      <c r="E104" s="2" t="s">
        <v>48</v>
      </c>
      <c r="F104" s="2" t="s">
        <v>83</v>
      </c>
      <c r="G104" s="2"/>
      <c r="H104" s="2" t="s">
        <v>66</v>
      </c>
      <c r="I104" s="2" t="s">
        <v>468</v>
      </c>
      <c r="J104" s="2" t="s">
        <v>68</v>
      </c>
      <c r="K104" s="2" t="s">
        <v>53</v>
      </c>
      <c r="L104" s="2" t="s">
        <v>69</v>
      </c>
      <c r="M104" s="2" t="s">
        <v>70</v>
      </c>
      <c r="N104" s="2" t="s">
        <v>113</v>
      </c>
      <c r="O104" s="2" t="s">
        <v>97</v>
      </c>
      <c r="P104" s="4">
        <v>27356.73452546296</v>
      </c>
      <c r="Q104" s="5">
        <v>19707.73452546296</v>
      </c>
      <c r="R104" s="2" t="s">
        <v>57</v>
      </c>
      <c r="S104" s="2" t="s">
        <v>57</v>
      </c>
      <c r="T104" s="2" t="s">
        <v>58</v>
      </c>
      <c r="U104" s="2" t="s">
        <v>58</v>
      </c>
      <c r="V104" s="2"/>
      <c r="W104" s="2" t="s">
        <v>57</v>
      </c>
      <c r="X104" s="2" t="s">
        <v>170</v>
      </c>
      <c r="Y104" s="2" t="s">
        <v>61</v>
      </c>
      <c r="Z104" s="2" t="s">
        <v>61</v>
      </c>
      <c r="AA104" s="2" t="s">
        <v>62</v>
      </c>
      <c r="AB104" s="2" t="s">
        <v>63</v>
      </c>
      <c r="AC104" s="2" t="s">
        <v>74</v>
      </c>
      <c r="AD104" s="2" t="s">
        <v>75</v>
      </c>
      <c r="AE104" s="2" t="s">
        <v>474</v>
      </c>
      <c r="AF104" s="2" t="s">
        <v>63</v>
      </c>
      <c r="AG104" s="2" t="s">
        <v>203</v>
      </c>
      <c r="AH104" s="2" t="s">
        <v>135</v>
      </c>
      <c r="AI104" s="2" t="s">
        <v>171</v>
      </c>
      <c r="AJ104" s="2" t="s">
        <v>79</v>
      </c>
      <c r="AK104" s="2" t="s">
        <v>475</v>
      </c>
      <c r="AL104" s="2" t="s">
        <v>82</v>
      </c>
      <c r="AM104" s="2" t="s">
        <v>75</v>
      </c>
      <c r="AN104" s="2" t="s">
        <v>82</v>
      </c>
      <c r="AO104" s="7">
        <v>8.0</v>
      </c>
      <c r="AP104" s="7">
        <v>8.0</v>
      </c>
      <c r="AQ104" s="7">
        <v>9.0</v>
      </c>
      <c r="AR104" s="7">
        <v>9.0</v>
      </c>
      <c r="AS104" s="7"/>
      <c r="AT104" s="8"/>
      <c r="AU104" s="8"/>
      <c r="AV104" s="8"/>
      <c r="AW104" s="8"/>
      <c r="AX104" s="8"/>
      <c r="AY104" s="8">
        <v>0.0</v>
      </c>
      <c r="AZ104" s="9">
        <f t="shared" si="8"/>
        <v>8.5</v>
      </c>
    </row>
    <row r="105">
      <c r="A105" s="4">
        <v>42654.73465731481</v>
      </c>
      <c r="B105" s="5">
        <v>35270.0</v>
      </c>
      <c r="C105" s="2" t="s">
        <v>161</v>
      </c>
      <c r="D105" s="2" t="s">
        <v>47</v>
      </c>
      <c r="E105" s="2" t="s">
        <v>48</v>
      </c>
      <c r="F105" s="2" t="s">
        <v>476</v>
      </c>
      <c r="G105" s="2"/>
      <c r="H105" s="2" t="s">
        <v>66</v>
      </c>
      <c r="I105" s="2" t="s">
        <v>468</v>
      </c>
      <c r="J105" s="2" t="s">
        <v>234</v>
      </c>
      <c r="K105" s="2" t="s">
        <v>143</v>
      </c>
      <c r="L105" s="2" t="s">
        <v>144</v>
      </c>
      <c r="M105" s="2" t="s">
        <v>55</v>
      </c>
      <c r="N105" s="2" t="s">
        <v>113</v>
      </c>
      <c r="O105" s="2" t="s">
        <v>97</v>
      </c>
      <c r="P105" s="4">
        <v>27886.734652777777</v>
      </c>
      <c r="Q105" s="5">
        <v>20502.734652777777</v>
      </c>
      <c r="R105" s="2" t="s">
        <v>73</v>
      </c>
      <c r="S105" s="2" t="s">
        <v>100</v>
      </c>
      <c r="T105" s="2" t="s">
        <v>58</v>
      </c>
      <c r="U105" s="2" t="s">
        <v>58</v>
      </c>
      <c r="V105" s="2"/>
      <c r="W105" s="2" t="s">
        <v>59</v>
      </c>
      <c r="X105" s="2" t="s">
        <v>170</v>
      </c>
      <c r="Y105" s="2" t="s">
        <v>60</v>
      </c>
      <c r="Z105" s="2" t="s">
        <v>60</v>
      </c>
      <c r="AA105" s="2" t="s">
        <v>62</v>
      </c>
      <c r="AB105" s="2" t="s">
        <v>74</v>
      </c>
      <c r="AC105" s="2" t="s">
        <v>74</v>
      </c>
      <c r="AD105" s="2" t="s">
        <v>75</v>
      </c>
      <c r="AE105" s="2" t="s">
        <v>477</v>
      </c>
      <c r="AF105" s="2" t="s">
        <v>63</v>
      </c>
      <c r="AG105" s="7">
        <v>18.0</v>
      </c>
      <c r="AH105" s="7">
        <v>9.0</v>
      </c>
      <c r="AI105" s="2" t="s">
        <v>172</v>
      </c>
      <c r="AJ105" s="2" t="s">
        <v>79</v>
      </c>
      <c r="AK105" s="2" t="s">
        <v>130</v>
      </c>
      <c r="AL105" s="2" t="s">
        <v>82</v>
      </c>
      <c r="AM105" s="2" t="s">
        <v>75</v>
      </c>
      <c r="AN105" s="2" t="s">
        <v>82</v>
      </c>
      <c r="AO105" s="7">
        <v>9.0</v>
      </c>
      <c r="AP105" s="7">
        <v>5.0</v>
      </c>
      <c r="AQ105" s="7">
        <v>3.0</v>
      </c>
      <c r="AR105" s="7">
        <v>6.0</v>
      </c>
      <c r="AS105" s="7"/>
      <c r="AT105" s="8"/>
      <c r="AU105" s="8"/>
      <c r="AV105" s="8"/>
      <c r="AW105" s="8"/>
      <c r="AX105" s="8"/>
      <c r="AY105" s="8">
        <v>1.0</v>
      </c>
      <c r="AZ105" s="9">
        <f t="shared" si="8"/>
        <v>5.75</v>
      </c>
    </row>
    <row r="106">
      <c r="A106" s="4">
        <v>42654.734825694446</v>
      </c>
      <c r="B106" s="5">
        <v>35281.0</v>
      </c>
      <c r="C106" s="2" t="s">
        <v>161</v>
      </c>
      <c r="D106" s="2" t="s">
        <v>47</v>
      </c>
      <c r="E106" s="2" t="s">
        <v>478</v>
      </c>
      <c r="F106" s="2" t="s">
        <v>479</v>
      </c>
      <c r="G106" s="2"/>
      <c r="H106" s="2" t="s">
        <v>66</v>
      </c>
      <c r="I106" s="2" t="s">
        <v>51</v>
      </c>
      <c r="J106" s="2" t="s">
        <v>68</v>
      </c>
      <c r="K106" s="2" t="s">
        <v>53</v>
      </c>
      <c r="L106" s="2" t="s">
        <v>95</v>
      </c>
      <c r="M106" s="2" t="s">
        <v>85</v>
      </c>
      <c r="N106" s="2" t="s">
        <v>71</v>
      </c>
      <c r="O106" s="2" t="s">
        <v>97</v>
      </c>
      <c r="P106" s="4">
        <v>27908.73482638889</v>
      </c>
      <c r="Q106" s="5">
        <v>20535.73482638889</v>
      </c>
      <c r="R106" s="2" t="s">
        <v>57</v>
      </c>
      <c r="S106" s="2" t="s">
        <v>73</v>
      </c>
      <c r="T106" s="2" t="s">
        <v>57</v>
      </c>
      <c r="U106" s="2" t="s">
        <v>57</v>
      </c>
      <c r="V106" s="2"/>
      <c r="W106" s="2" t="s">
        <v>59</v>
      </c>
      <c r="X106" s="2" t="s">
        <v>170</v>
      </c>
      <c r="Y106" s="2" t="s">
        <v>60</v>
      </c>
      <c r="Z106" s="2" t="s">
        <v>61</v>
      </c>
      <c r="AA106" s="2" t="s">
        <v>62</v>
      </c>
      <c r="AB106" s="2" t="s">
        <v>74</v>
      </c>
      <c r="AC106" s="2" t="s">
        <v>74</v>
      </c>
      <c r="AD106" s="2" t="s">
        <v>75</v>
      </c>
      <c r="AE106" s="2" t="s">
        <v>480</v>
      </c>
      <c r="AF106" s="2" t="s">
        <v>63</v>
      </c>
      <c r="AG106" s="2" t="s">
        <v>171</v>
      </c>
      <c r="AH106" s="7">
        <v>9.55</v>
      </c>
      <c r="AI106" s="7">
        <v>10.0</v>
      </c>
      <c r="AJ106" s="2" t="s">
        <v>79</v>
      </c>
      <c r="AK106" s="7">
        <v>9.7</v>
      </c>
      <c r="AL106" s="2" t="s">
        <v>82</v>
      </c>
      <c r="AM106" s="2" t="s">
        <v>75</v>
      </c>
      <c r="AN106" s="2" t="s">
        <v>75</v>
      </c>
      <c r="AO106" s="7">
        <v>8.0</v>
      </c>
      <c r="AP106" s="7">
        <v>9.0</v>
      </c>
      <c r="AQ106" s="7">
        <v>10.0</v>
      </c>
      <c r="AR106" s="7">
        <v>10.0</v>
      </c>
      <c r="AS106" s="7"/>
      <c r="AT106" s="8"/>
      <c r="AU106" s="8"/>
      <c r="AV106" s="8"/>
      <c r="AW106" s="8"/>
      <c r="AX106" s="8"/>
      <c r="AY106" s="8">
        <v>0.0</v>
      </c>
      <c r="AZ106" s="9">
        <f t="shared" si="8"/>
        <v>9.25</v>
      </c>
    </row>
    <row r="107">
      <c r="A107" s="4">
        <v>42654.735212685184</v>
      </c>
      <c r="B107" s="5">
        <v>35149.0</v>
      </c>
      <c r="C107" s="2" t="s">
        <v>161</v>
      </c>
      <c r="D107" s="2" t="s">
        <v>47</v>
      </c>
      <c r="E107" s="2" t="s">
        <v>48</v>
      </c>
      <c r="F107" s="2" t="s">
        <v>481</v>
      </c>
      <c r="G107" s="2"/>
      <c r="H107" s="2" t="s">
        <v>66</v>
      </c>
      <c r="I107" s="2" t="s">
        <v>482</v>
      </c>
      <c r="J107" s="2" t="s">
        <v>111</v>
      </c>
      <c r="K107" s="2" t="s">
        <v>53</v>
      </c>
      <c r="L107" s="2" t="s">
        <v>84</v>
      </c>
      <c r="M107" s="2" t="s">
        <v>293</v>
      </c>
      <c r="N107" s="2" t="s">
        <v>96</v>
      </c>
      <c r="O107" s="2" t="s">
        <v>97</v>
      </c>
      <c r="P107" s="4">
        <v>27644.73520833333</v>
      </c>
      <c r="Q107" s="5">
        <v>20139.73520833333</v>
      </c>
      <c r="R107" s="2" t="s">
        <v>57</v>
      </c>
      <c r="S107" s="2" t="s">
        <v>100</v>
      </c>
      <c r="T107" s="2" t="s">
        <v>57</v>
      </c>
      <c r="U107" s="2" t="s">
        <v>58</v>
      </c>
      <c r="V107" s="2" t="s">
        <v>483</v>
      </c>
      <c r="W107" s="2" t="s">
        <v>100</v>
      </c>
      <c r="X107" s="2" t="s">
        <v>73</v>
      </c>
      <c r="Y107" s="2" t="s">
        <v>61</v>
      </c>
      <c r="Z107" s="2" t="s">
        <v>61</v>
      </c>
      <c r="AA107" s="2" t="s">
        <v>62</v>
      </c>
      <c r="AB107" s="2" t="s">
        <v>63</v>
      </c>
      <c r="AC107" s="2" t="s">
        <v>74</v>
      </c>
      <c r="AD107" s="2" t="s">
        <v>93</v>
      </c>
      <c r="AE107" s="2" t="s">
        <v>484</v>
      </c>
      <c r="AF107" s="2" t="s">
        <v>63</v>
      </c>
      <c r="AG107" s="7">
        <v>17.0</v>
      </c>
      <c r="AH107" s="2" t="s">
        <v>461</v>
      </c>
      <c r="AI107" s="2" t="s">
        <v>226</v>
      </c>
      <c r="AJ107" s="2" t="s">
        <v>79</v>
      </c>
      <c r="AK107" s="2" t="s">
        <v>380</v>
      </c>
      <c r="AL107" s="2" t="s">
        <v>75</v>
      </c>
      <c r="AM107" s="2" t="s">
        <v>93</v>
      </c>
      <c r="AN107" s="2" t="s">
        <v>93</v>
      </c>
      <c r="AO107" s="7">
        <v>4.0</v>
      </c>
      <c r="AP107" s="7">
        <v>6.0</v>
      </c>
      <c r="AQ107" s="7">
        <v>6.0</v>
      </c>
      <c r="AR107" s="7">
        <v>7.0</v>
      </c>
      <c r="AS107" s="7"/>
      <c r="AT107" s="8"/>
      <c r="AU107" s="8"/>
      <c r="AV107" s="8"/>
      <c r="AW107" s="8"/>
      <c r="AX107" s="8"/>
      <c r="AY107" s="8">
        <v>1.0</v>
      </c>
      <c r="AZ107" s="9">
        <f t="shared" si="8"/>
        <v>5.75</v>
      </c>
    </row>
    <row r="108">
      <c r="A108" s="4">
        <v>42654.73523825231</v>
      </c>
      <c r="B108" s="5">
        <v>35277.0</v>
      </c>
      <c r="C108" s="2" t="s">
        <v>161</v>
      </c>
      <c r="D108" s="2" t="s">
        <v>47</v>
      </c>
      <c r="E108" s="2" t="s">
        <v>485</v>
      </c>
      <c r="F108" s="2" t="s">
        <v>486</v>
      </c>
      <c r="G108" s="2"/>
      <c r="H108" s="2" t="s">
        <v>66</v>
      </c>
      <c r="I108" s="2" t="s">
        <v>487</v>
      </c>
      <c r="J108" s="2" t="s">
        <v>52</v>
      </c>
      <c r="K108" s="2" t="s">
        <v>143</v>
      </c>
      <c r="L108" s="2" t="s">
        <v>95</v>
      </c>
      <c r="M108" s="2" t="s">
        <v>55</v>
      </c>
      <c r="N108" s="2" t="s">
        <v>113</v>
      </c>
      <c r="O108" s="2" t="s">
        <v>72</v>
      </c>
      <c r="P108" s="4">
        <v>27900.735243055555</v>
      </c>
      <c r="Q108" s="5">
        <v>20523.735243055555</v>
      </c>
      <c r="R108" s="2" t="s">
        <v>57</v>
      </c>
      <c r="S108" s="2" t="s">
        <v>57</v>
      </c>
      <c r="T108" s="2" t="s">
        <v>58</v>
      </c>
      <c r="U108" s="2" t="s">
        <v>58</v>
      </c>
      <c r="V108" s="2"/>
      <c r="W108" s="2" t="s">
        <v>59</v>
      </c>
      <c r="X108" s="2" t="s">
        <v>170</v>
      </c>
      <c r="Y108" s="2" t="s">
        <v>61</v>
      </c>
      <c r="Z108" s="2" t="s">
        <v>60</v>
      </c>
      <c r="AA108" s="2" t="s">
        <v>62</v>
      </c>
      <c r="AB108" s="2" t="s">
        <v>74</v>
      </c>
      <c r="AC108" s="2" t="s">
        <v>74</v>
      </c>
      <c r="AD108" s="2" t="s">
        <v>93</v>
      </c>
      <c r="AE108" s="2"/>
      <c r="AF108" s="2" t="s">
        <v>63</v>
      </c>
      <c r="AG108" s="7">
        <v>17.0</v>
      </c>
      <c r="AH108" s="2" t="s">
        <v>488</v>
      </c>
      <c r="AI108" s="7">
        <v>10.0</v>
      </c>
      <c r="AJ108" s="2" t="s">
        <v>79</v>
      </c>
      <c r="AK108" s="7">
        <v>9.25</v>
      </c>
      <c r="AL108" s="2" t="s">
        <v>75</v>
      </c>
      <c r="AM108" s="2" t="s">
        <v>75</v>
      </c>
      <c r="AN108" s="2" t="s">
        <v>75</v>
      </c>
      <c r="AO108" s="7">
        <v>8.0</v>
      </c>
      <c r="AP108" s="7">
        <v>9.0</v>
      </c>
      <c r="AQ108" s="7">
        <v>10.0</v>
      </c>
      <c r="AR108" s="7">
        <v>7.0</v>
      </c>
      <c r="AS108" s="7"/>
      <c r="AT108" s="8"/>
      <c r="AU108" s="8"/>
      <c r="AV108" s="8"/>
      <c r="AW108" s="8"/>
      <c r="AX108" s="8"/>
      <c r="AY108" s="8">
        <v>0.0</v>
      </c>
      <c r="AZ108" s="9">
        <f t="shared" si="8"/>
        <v>8.5</v>
      </c>
    </row>
    <row r="109">
      <c r="A109" s="4">
        <v>42654.73650403935</v>
      </c>
      <c r="B109" s="5">
        <v>35277.0</v>
      </c>
      <c r="C109" s="2" t="s">
        <v>161</v>
      </c>
      <c r="D109" s="2" t="s">
        <v>47</v>
      </c>
      <c r="E109" s="2" t="s">
        <v>48</v>
      </c>
      <c r="F109" s="2" t="s">
        <v>366</v>
      </c>
      <c r="G109" s="2"/>
      <c r="H109" s="2" t="s">
        <v>66</v>
      </c>
      <c r="I109" s="2" t="s">
        <v>142</v>
      </c>
      <c r="J109" s="2" t="s">
        <v>68</v>
      </c>
      <c r="K109" s="2" t="s">
        <v>53</v>
      </c>
      <c r="L109" s="2" t="s">
        <v>69</v>
      </c>
      <c r="M109" s="2" t="s">
        <v>70</v>
      </c>
      <c r="N109" s="2" t="s">
        <v>71</v>
      </c>
      <c r="O109" s="2" t="s">
        <v>72</v>
      </c>
      <c r="P109" s="4">
        <v>27900.73650462963</v>
      </c>
      <c r="Q109" s="5">
        <v>20523.73650462963</v>
      </c>
      <c r="R109" s="2" t="s">
        <v>73</v>
      </c>
      <c r="S109" s="2" t="s">
        <v>73</v>
      </c>
      <c r="T109" s="2" t="s">
        <v>58</v>
      </c>
      <c r="U109" s="2" t="s">
        <v>58</v>
      </c>
      <c r="V109" s="2" t="s">
        <v>489</v>
      </c>
      <c r="W109" s="2" t="s">
        <v>73</v>
      </c>
      <c r="X109" s="2" t="s">
        <v>73</v>
      </c>
      <c r="Y109" s="2" t="s">
        <v>60</v>
      </c>
      <c r="Z109" s="2" t="s">
        <v>60</v>
      </c>
      <c r="AA109" s="2" t="s">
        <v>62</v>
      </c>
      <c r="AB109" s="2" t="s">
        <v>74</v>
      </c>
      <c r="AC109" s="2" t="s">
        <v>74</v>
      </c>
      <c r="AD109" s="2" t="s">
        <v>82</v>
      </c>
      <c r="AE109" s="2" t="s">
        <v>490</v>
      </c>
      <c r="AF109" s="2" t="s">
        <v>63</v>
      </c>
      <c r="AG109" s="7">
        <v>7.64</v>
      </c>
      <c r="AH109" s="7">
        <v>9.03</v>
      </c>
      <c r="AI109" s="7">
        <v>9.6</v>
      </c>
      <c r="AJ109" s="2" t="s">
        <v>79</v>
      </c>
      <c r="AK109" s="7">
        <v>8.05</v>
      </c>
      <c r="AL109" s="2" t="s">
        <v>82</v>
      </c>
      <c r="AM109" s="2" t="s">
        <v>82</v>
      </c>
      <c r="AN109" s="2" t="s">
        <v>75</v>
      </c>
      <c r="AO109" s="7">
        <v>9.0</v>
      </c>
      <c r="AP109" s="7">
        <v>8.0</v>
      </c>
      <c r="AQ109" s="7">
        <v>7.0</v>
      </c>
      <c r="AR109" s="7">
        <v>7.0</v>
      </c>
      <c r="AS109" s="7"/>
      <c r="AT109" s="8"/>
      <c r="AU109" s="8"/>
      <c r="AV109" s="8"/>
      <c r="AW109" s="8"/>
      <c r="AX109" s="8"/>
      <c r="AY109" s="8">
        <v>1.0</v>
      </c>
      <c r="AZ109" s="9">
        <f t="shared" si="8"/>
        <v>7.75</v>
      </c>
    </row>
    <row r="110">
      <c r="A110" s="4">
        <v>42654.7372397338</v>
      </c>
      <c r="B110" s="5">
        <v>35422.0</v>
      </c>
      <c r="C110" s="2" t="s">
        <v>161</v>
      </c>
      <c r="D110" s="2" t="s">
        <v>47</v>
      </c>
      <c r="E110" s="2" t="s">
        <v>106</v>
      </c>
      <c r="F110" s="2" t="s">
        <v>491</v>
      </c>
      <c r="G110" s="2"/>
      <c r="H110" s="2" t="s">
        <v>66</v>
      </c>
      <c r="I110" s="2" t="s">
        <v>142</v>
      </c>
      <c r="J110" s="2" t="s">
        <v>234</v>
      </c>
      <c r="K110" s="2" t="s">
        <v>143</v>
      </c>
      <c r="L110" s="2" t="s">
        <v>144</v>
      </c>
      <c r="M110" s="2" t="s">
        <v>55</v>
      </c>
      <c r="N110" s="2" t="s">
        <v>113</v>
      </c>
      <c r="O110" s="2" t="s">
        <v>168</v>
      </c>
      <c r="P110" s="4">
        <v>28190.737245370372</v>
      </c>
      <c r="Q110" s="5">
        <v>20958.737245370372</v>
      </c>
      <c r="R110" s="2" t="s">
        <v>73</v>
      </c>
      <c r="S110" s="2" t="s">
        <v>73</v>
      </c>
      <c r="T110" s="2" t="s">
        <v>58</v>
      </c>
      <c r="U110" s="2" t="s">
        <v>58</v>
      </c>
      <c r="V110" s="2"/>
      <c r="W110" s="2" t="s">
        <v>59</v>
      </c>
      <c r="X110" s="2" t="s">
        <v>170</v>
      </c>
      <c r="Y110" s="2" t="s">
        <v>60</v>
      </c>
      <c r="Z110" s="2" t="s">
        <v>60</v>
      </c>
      <c r="AA110" s="2" t="s">
        <v>62</v>
      </c>
      <c r="AB110" s="2" t="s">
        <v>74</v>
      </c>
      <c r="AC110" s="2" t="s">
        <v>74</v>
      </c>
      <c r="AD110" s="2" t="s">
        <v>75</v>
      </c>
      <c r="AE110" s="2"/>
      <c r="AF110" s="2" t="s">
        <v>63</v>
      </c>
      <c r="AG110" s="7">
        <v>16.0</v>
      </c>
      <c r="AH110" s="2" t="s">
        <v>492</v>
      </c>
      <c r="AI110" s="2" t="s">
        <v>493</v>
      </c>
      <c r="AJ110" s="2" t="s">
        <v>79</v>
      </c>
      <c r="AK110" s="2" t="s">
        <v>429</v>
      </c>
      <c r="AL110" s="2" t="s">
        <v>75</v>
      </c>
      <c r="AM110" s="2" t="s">
        <v>75</v>
      </c>
      <c r="AN110" s="2" t="s">
        <v>75</v>
      </c>
      <c r="AO110" s="7">
        <v>6.0</v>
      </c>
      <c r="AP110" s="7">
        <v>6.0</v>
      </c>
      <c r="AQ110" s="7">
        <v>7.0</v>
      </c>
      <c r="AR110" s="7">
        <v>8.0</v>
      </c>
      <c r="AS110" s="7"/>
      <c r="AT110" s="8"/>
      <c r="AU110" s="8"/>
      <c r="AV110" s="8"/>
      <c r="AW110" s="8"/>
      <c r="AX110" s="8"/>
      <c r="AY110" s="8">
        <v>0.0</v>
      </c>
      <c r="AZ110" s="9">
        <f t="shared" si="8"/>
        <v>6.75</v>
      </c>
    </row>
    <row r="111">
      <c r="A111" s="4">
        <v>42654.74068604167</v>
      </c>
      <c r="B111" s="5">
        <v>35177.0</v>
      </c>
      <c r="C111" s="2" t="s">
        <v>161</v>
      </c>
      <c r="D111" s="2" t="s">
        <v>47</v>
      </c>
      <c r="E111" s="2" t="s">
        <v>48</v>
      </c>
      <c r="F111" s="2" t="s">
        <v>83</v>
      </c>
      <c r="G111" s="2"/>
      <c r="H111" s="2" t="s">
        <v>66</v>
      </c>
      <c r="I111" s="2" t="s">
        <v>494</v>
      </c>
      <c r="J111" s="2" t="s">
        <v>52</v>
      </c>
      <c r="K111" s="2" t="s">
        <v>53</v>
      </c>
      <c r="L111" s="2" t="s">
        <v>112</v>
      </c>
      <c r="M111" s="2" t="s">
        <v>55</v>
      </c>
      <c r="N111" s="2" t="s">
        <v>113</v>
      </c>
      <c r="O111" s="2" t="s">
        <v>97</v>
      </c>
      <c r="P111" s="4">
        <v>27700.74068287037</v>
      </c>
      <c r="Q111" s="5">
        <v>20223.74068287037</v>
      </c>
      <c r="R111" s="2" t="s">
        <v>98</v>
      </c>
      <c r="S111" s="2" t="s">
        <v>159</v>
      </c>
      <c r="T111" s="2" t="s">
        <v>57</v>
      </c>
      <c r="U111" s="2" t="s">
        <v>100</v>
      </c>
      <c r="V111" s="2"/>
      <c r="W111" s="2" t="s">
        <v>57</v>
      </c>
      <c r="X111" s="2" t="s">
        <v>57</v>
      </c>
      <c r="Y111" s="2"/>
      <c r="Z111" s="2" t="s">
        <v>61</v>
      </c>
      <c r="AA111" s="2" t="s">
        <v>62</v>
      </c>
      <c r="AB111" s="2" t="s">
        <v>74</v>
      </c>
      <c r="AC111" s="2" t="s">
        <v>74</v>
      </c>
      <c r="AD111" s="2" t="s">
        <v>93</v>
      </c>
      <c r="AE111" s="2"/>
      <c r="AF111" s="2" t="s">
        <v>63</v>
      </c>
      <c r="AG111" s="7">
        <v>16.0</v>
      </c>
      <c r="AH111" s="2" t="s">
        <v>495</v>
      </c>
      <c r="AI111" s="7">
        <v>10.0</v>
      </c>
      <c r="AJ111" s="2" t="s">
        <v>79</v>
      </c>
      <c r="AK111" s="2" t="s">
        <v>131</v>
      </c>
      <c r="AL111" s="2" t="s">
        <v>82</v>
      </c>
      <c r="AM111" s="2" t="s">
        <v>82</v>
      </c>
      <c r="AN111" s="2" t="s">
        <v>93</v>
      </c>
      <c r="AO111" s="7">
        <v>9.0</v>
      </c>
      <c r="AP111" s="7">
        <v>9.0</v>
      </c>
      <c r="AQ111" s="7">
        <v>8.0</v>
      </c>
      <c r="AR111" s="7">
        <v>8.0</v>
      </c>
      <c r="AS111" s="7"/>
      <c r="AT111" s="8"/>
      <c r="AU111" s="8"/>
      <c r="AV111" s="8"/>
      <c r="AW111" s="8"/>
      <c r="AX111" s="8"/>
      <c r="AY111" s="8">
        <v>0.0</v>
      </c>
      <c r="AZ111" s="9">
        <f t="shared" si="8"/>
        <v>8.5</v>
      </c>
    </row>
    <row r="112">
      <c r="A112" s="4">
        <v>42654.74765991898</v>
      </c>
      <c r="B112" s="5">
        <v>34858.0</v>
      </c>
      <c r="C112" s="2" t="s">
        <v>161</v>
      </c>
      <c r="D112" s="2" t="s">
        <v>47</v>
      </c>
      <c r="E112" s="2" t="s">
        <v>48</v>
      </c>
      <c r="F112" s="2" t="s">
        <v>155</v>
      </c>
      <c r="G112" s="2"/>
      <c r="H112" s="2" t="s">
        <v>120</v>
      </c>
      <c r="I112" s="2" t="s">
        <v>142</v>
      </c>
      <c r="J112" s="2" t="s">
        <v>68</v>
      </c>
      <c r="K112" s="2" t="s">
        <v>53</v>
      </c>
      <c r="L112" s="2" t="s">
        <v>69</v>
      </c>
      <c r="M112" s="2" t="s">
        <v>85</v>
      </c>
      <c r="N112" s="2" t="s">
        <v>96</v>
      </c>
      <c r="O112" s="2" t="s">
        <v>72</v>
      </c>
      <c r="P112" s="4">
        <v>27062.747662037036</v>
      </c>
      <c r="Q112" s="5">
        <v>19266.747662037036</v>
      </c>
      <c r="R112" s="2" t="s">
        <v>73</v>
      </c>
      <c r="S112" s="2" t="s">
        <v>73</v>
      </c>
      <c r="T112" s="2" t="s">
        <v>58</v>
      </c>
      <c r="U112" s="2" t="s">
        <v>58</v>
      </c>
      <c r="V112" s="2" t="s">
        <v>496</v>
      </c>
      <c r="W112" s="2" t="s">
        <v>57</v>
      </c>
      <c r="X112" s="2" t="s">
        <v>73</v>
      </c>
      <c r="Y112" s="2" t="s">
        <v>60</v>
      </c>
      <c r="Z112" s="2" t="s">
        <v>60</v>
      </c>
      <c r="AA112" s="2" t="s">
        <v>62</v>
      </c>
      <c r="AB112" s="2" t="s">
        <v>74</v>
      </c>
      <c r="AC112" s="2" t="s">
        <v>74</v>
      </c>
      <c r="AD112" s="2" t="s">
        <v>75</v>
      </c>
      <c r="AE112" s="2"/>
      <c r="AF112" s="2" t="s">
        <v>63</v>
      </c>
      <c r="AG112" s="7">
        <v>6.79</v>
      </c>
      <c r="AH112" s="7">
        <v>8.38</v>
      </c>
      <c r="AI112" s="7">
        <v>7.2</v>
      </c>
      <c r="AJ112" s="2" t="s">
        <v>124</v>
      </c>
      <c r="AK112" s="2" t="s">
        <v>299</v>
      </c>
      <c r="AL112" s="2" t="s">
        <v>75</v>
      </c>
      <c r="AM112" s="2" t="s">
        <v>75</v>
      </c>
      <c r="AN112" s="2" t="s">
        <v>75</v>
      </c>
      <c r="AO112" s="7">
        <v>7.0</v>
      </c>
      <c r="AP112" s="7">
        <v>6.0</v>
      </c>
      <c r="AQ112" s="7">
        <v>6.0</v>
      </c>
      <c r="AR112" s="7">
        <v>6.0</v>
      </c>
      <c r="AS112" s="7"/>
      <c r="AT112" s="8"/>
      <c r="AU112" s="8"/>
      <c r="AV112" s="8"/>
      <c r="AW112" s="8"/>
      <c r="AX112" s="8"/>
      <c r="AY112" s="8">
        <v>3.0</v>
      </c>
      <c r="AZ112" s="9">
        <f t="shared" si="8"/>
        <v>6.25</v>
      </c>
    </row>
    <row r="113">
      <c r="A113" s="4">
        <v>42654.754987858796</v>
      </c>
      <c r="B113" s="5">
        <v>35016.0</v>
      </c>
      <c r="C113" s="2" t="s">
        <v>161</v>
      </c>
      <c r="D113" s="2" t="s">
        <v>47</v>
      </c>
      <c r="E113" s="2" t="s">
        <v>48</v>
      </c>
      <c r="F113" s="2" t="s">
        <v>167</v>
      </c>
      <c r="G113" s="2"/>
      <c r="H113" s="2" t="s">
        <v>120</v>
      </c>
      <c r="I113" s="2" t="s">
        <v>51</v>
      </c>
      <c r="J113" s="2" t="s">
        <v>68</v>
      </c>
      <c r="K113" s="2" t="s">
        <v>53</v>
      </c>
      <c r="L113" s="2" t="s">
        <v>84</v>
      </c>
      <c r="M113" s="2" t="s">
        <v>55</v>
      </c>
      <c r="N113" s="2" t="s">
        <v>96</v>
      </c>
      <c r="O113" s="2" t="s">
        <v>97</v>
      </c>
      <c r="P113" s="4">
        <v>27378.754988425924</v>
      </c>
      <c r="Q113" s="5">
        <v>19740.754988425924</v>
      </c>
      <c r="R113" s="2" t="s">
        <v>57</v>
      </c>
      <c r="S113" s="2" t="s">
        <v>73</v>
      </c>
      <c r="T113" s="2" t="s">
        <v>58</v>
      </c>
      <c r="U113" s="2" t="s">
        <v>58</v>
      </c>
      <c r="V113" s="2"/>
      <c r="W113" s="2" t="s">
        <v>59</v>
      </c>
      <c r="X113" s="2" t="s">
        <v>73</v>
      </c>
      <c r="Y113" s="2" t="s">
        <v>60</v>
      </c>
      <c r="Z113" s="2" t="s">
        <v>61</v>
      </c>
      <c r="AA113" s="2" t="s">
        <v>62</v>
      </c>
      <c r="AB113" s="2" t="s">
        <v>63</v>
      </c>
      <c r="AC113" s="2" t="s">
        <v>63</v>
      </c>
      <c r="AD113" s="2" t="s">
        <v>93</v>
      </c>
      <c r="AE113" s="2" t="s">
        <v>497</v>
      </c>
      <c r="AF113" s="2" t="s">
        <v>63</v>
      </c>
      <c r="AG113" s="7">
        <v>18.0</v>
      </c>
      <c r="AH113" s="2" t="s">
        <v>148</v>
      </c>
      <c r="AI113" s="7">
        <v>10.0</v>
      </c>
      <c r="AJ113" s="2" t="s">
        <v>124</v>
      </c>
      <c r="AK113" s="2" t="s">
        <v>245</v>
      </c>
      <c r="AL113" s="2" t="s">
        <v>82</v>
      </c>
      <c r="AM113" s="2" t="s">
        <v>93</v>
      </c>
      <c r="AN113" s="2" t="s">
        <v>82</v>
      </c>
      <c r="AO113" s="7">
        <v>10.0</v>
      </c>
      <c r="AP113" s="7">
        <v>8.0</v>
      </c>
      <c r="AQ113" s="7">
        <v>10.0</v>
      </c>
      <c r="AR113" s="7">
        <v>9.0</v>
      </c>
      <c r="AS113" s="7"/>
      <c r="AT113" s="8"/>
      <c r="AU113" s="8"/>
      <c r="AV113" s="8"/>
      <c r="AW113" s="8"/>
      <c r="AX113" s="8"/>
      <c r="AY113" s="8">
        <v>0.0</v>
      </c>
      <c r="AZ113" s="9">
        <f t="shared" si="8"/>
        <v>9.25</v>
      </c>
    </row>
    <row r="114">
      <c r="A114" s="4">
        <v>42655.58022908565</v>
      </c>
      <c r="B114" s="5">
        <v>35327.0</v>
      </c>
      <c r="C114" s="2" t="s">
        <v>161</v>
      </c>
      <c r="D114" s="2" t="s">
        <v>47</v>
      </c>
      <c r="E114" s="2" t="s">
        <v>48</v>
      </c>
      <c r="F114" s="2" t="s">
        <v>337</v>
      </c>
      <c r="G114" s="2"/>
      <c r="H114" s="2" t="s">
        <v>498</v>
      </c>
      <c r="I114" s="2" t="s">
        <v>51</v>
      </c>
      <c r="J114" s="2" t="s">
        <v>68</v>
      </c>
      <c r="K114" s="2" t="s">
        <v>53</v>
      </c>
      <c r="L114" s="2" t="s">
        <v>84</v>
      </c>
      <c r="M114" s="2" t="s">
        <v>70</v>
      </c>
      <c r="N114" s="2" t="s">
        <v>113</v>
      </c>
      <c r="O114" s="2" t="s">
        <v>97</v>
      </c>
      <c r="P114" s="4">
        <v>27999.580231481483</v>
      </c>
      <c r="Q114" s="5">
        <v>20671.580231481483</v>
      </c>
      <c r="R114" s="2" t="s">
        <v>57</v>
      </c>
      <c r="S114" s="2" t="s">
        <v>73</v>
      </c>
      <c r="T114" s="2" t="s">
        <v>58</v>
      </c>
      <c r="U114" s="2" t="s">
        <v>58</v>
      </c>
      <c r="V114" s="2" t="s">
        <v>499</v>
      </c>
      <c r="W114" s="2" t="s">
        <v>59</v>
      </c>
      <c r="X114" s="2" t="s">
        <v>170</v>
      </c>
      <c r="Y114" s="2" t="s">
        <v>60</v>
      </c>
      <c r="Z114" s="2" t="s">
        <v>60</v>
      </c>
      <c r="AA114" s="2" t="s">
        <v>62</v>
      </c>
      <c r="AB114" s="2" t="s">
        <v>74</v>
      </c>
      <c r="AC114" s="2" t="s">
        <v>74</v>
      </c>
      <c r="AD114" s="2" t="s">
        <v>82</v>
      </c>
      <c r="AE114" s="2" t="s">
        <v>500</v>
      </c>
      <c r="AF114" s="2" t="s">
        <v>63</v>
      </c>
      <c r="AG114" s="2" t="s">
        <v>91</v>
      </c>
      <c r="AH114" s="2" t="s">
        <v>80</v>
      </c>
      <c r="AI114" s="2" t="s">
        <v>429</v>
      </c>
      <c r="AJ114" s="2" t="s">
        <v>124</v>
      </c>
      <c r="AK114" s="2" t="s">
        <v>251</v>
      </c>
      <c r="AL114" s="2" t="s">
        <v>75</v>
      </c>
      <c r="AM114" s="2" t="s">
        <v>75</v>
      </c>
      <c r="AN114" s="2" t="s">
        <v>82</v>
      </c>
      <c r="AO114" s="7">
        <v>7.0</v>
      </c>
      <c r="AP114" s="7">
        <v>5.0</v>
      </c>
      <c r="AQ114" s="7">
        <v>6.0</v>
      </c>
      <c r="AR114" s="7">
        <v>6.0</v>
      </c>
      <c r="AS114" s="7"/>
      <c r="AT114" s="8"/>
      <c r="AU114" s="8"/>
      <c r="AV114" s="8"/>
      <c r="AW114" s="8"/>
      <c r="AX114" s="8"/>
      <c r="AY114" s="8">
        <v>1.0</v>
      </c>
      <c r="AZ114" s="9">
        <f t="shared" si="8"/>
        <v>6</v>
      </c>
    </row>
    <row r="115">
      <c r="A115" s="4">
        <v>42655.580582939816</v>
      </c>
      <c r="B115" s="5">
        <v>35344.0</v>
      </c>
      <c r="C115" s="2" t="s">
        <v>161</v>
      </c>
      <c r="D115" s="2" t="s">
        <v>47</v>
      </c>
      <c r="E115" s="2" t="s">
        <v>48</v>
      </c>
      <c r="F115" s="2" t="s">
        <v>501</v>
      </c>
      <c r="G115" s="2"/>
      <c r="H115" s="2" t="s">
        <v>338</v>
      </c>
      <c r="I115" s="2" t="s">
        <v>51</v>
      </c>
      <c r="J115" s="2" t="s">
        <v>68</v>
      </c>
      <c r="K115" s="2" t="s">
        <v>53</v>
      </c>
      <c r="L115" s="2" t="s">
        <v>69</v>
      </c>
      <c r="M115" s="2" t="s">
        <v>55</v>
      </c>
      <c r="N115" s="2" t="s">
        <v>96</v>
      </c>
      <c r="O115" s="2" t="s">
        <v>97</v>
      </c>
      <c r="P115" s="4">
        <v>28033.580578703702</v>
      </c>
      <c r="Q115" s="5">
        <v>20722.580578703702</v>
      </c>
      <c r="R115" s="2" t="s">
        <v>73</v>
      </c>
      <c r="S115" s="2" t="s">
        <v>57</v>
      </c>
      <c r="T115" s="2" t="s">
        <v>58</v>
      </c>
      <c r="U115" s="2" t="s">
        <v>58</v>
      </c>
      <c r="V115" s="2" t="s">
        <v>502</v>
      </c>
      <c r="W115" s="2" t="s">
        <v>59</v>
      </c>
      <c r="X115" s="2" t="s">
        <v>170</v>
      </c>
      <c r="Y115" s="2" t="s">
        <v>61</v>
      </c>
      <c r="Z115" s="2" t="s">
        <v>61</v>
      </c>
      <c r="AA115" s="2" t="s">
        <v>62</v>
      </c>
      <c r="AB115" s="2" t="s">
        <v>74</v>
      </c>
      <c r="AC115" s="2" t="s">
        <v>74</v>
      </c>
      <c r="AD115" s="2" t="s">
        <v>82</v>
      </c>
      <c r="AE115" s="2" t="s">
        <v>503</v>
      </c>
      <c r="AF115" s="2" t="s">
        <v>63</v>
      </c>
      <c r="AG115" s="7">
        <v>15.0</v>
      </c>
      <c r="AH115" s="2" t="s">
        <v>345</v>
      </c>
      <c r="AI115" s="2" t="s">
        <v>109</v>
      </c>
      <c r="AJ115" s="2" t="s">
        <v>124</v>
      </c>
      <c r="AK115" s="2" t="s">
        <v>186</v>
      </c>
      <c r="AL115" s="2" t="s">
        <v>82</v>
      </c>
      <c r="AM115" s="2" t="s">
        <v>75</v>
      </c>
      <c r="AN115" s="2" t="s">
        <v>82</v>
      </c>
      <c r="AO115" s="7">
        <v>8.0</v>
      </c>
      <c r="AP115" s="7">
        <v>9.0</v>
      </c>
      <c r="AQ115" s="7">
        <v>8.0</v>
      </c>
      <c r="AR115" s="7">
        <v>6.0</v>
      </c>
      <c r="AS115" s="7"/>
      <c r="AT115" s="8"/>
      <c r="AU115" s="8"/>
      <c r="AV115" s="8"/>
      <c r="AW115" s="8"/>
      <c r="AX115" s="8"/>
      <c r="AY115" s="8">
        <v>0.0</v>
      </c>
      <c r="AZ115" s="9">
        <f t="shared" si="8"/>
        <v>7.75</v>
      </c>
    </row>
    <row r="116">
      <c r="A116" s="4">
        <v>42655.58111467592</v>
      </c>
      <c r="B116" s="5">
        <v>34995.0</v>
      </c>
      <c r="C116" s="2" t="s">
        <v>161</v>
      </c>
      <c r="D116" s="2" t="s">
        <v>47</v>
      </c>
      <c r="E116" s="2" t="s">
        <v>48</v>
      </c>
      <c r="F116" s="2" t="s">
        <v>155</v>
      </c>
      <c r="G116" s="2"/>
      <c r="H116" s="2" t="s">
        <v>66</v>
      </c>
      <c r="I116" s="2" t="s">
        <v>246</v>
      </c>
      <c r="J116" s="2" t="s">
        <v>68</v>
      </c>
      <c r="K116" s="2" t="s">
        <v>53</v>
      </c>
      <c r="L116" s="2" t="s">
        <v>69</v>
      </c>
      <c r="M116" s="2" t="s">
        <v>55</v>
      </c>
      <c r="N116" s="2" t="s">
        <v>86</v>
      </c>
      <c r="O116" s="2" t="s">
        <v>72</v>
      </c>
      <c r="P116" s="4">
        <v>27335.58111111111</v>
      </c>
      <c r="Q116" s="5">
        <v>19675.58111111111</v>
      </c>
      <c r="R116" s="2" t="s">
        <v>73</v>
      </c>
      <c r="S116" s="2" t="s">
        <v>57</v>
      </c>
      <c r="T116" s="2" t="s">
        <v>58</v>
      </c>
      <c r="U116" s="2" t="s">
        <v>57</v>
      </c>
      <c r="V116" s="2"/>
      <c r="W116" s="2" t="s">
        <v>73</v>
      </c>
      <c r="X116" s="2" t="s">
        <v>57</v>
      </c>
      <c r="Y116" s="2" t="s">
        <v>60</v>
      </c>
      <c r="Z116" s="2" t="s">
        <v>60</v>
      </c>
      <c r="AA116" s="2" t="s">
        <v>62</v>
      </c>
      <c r="AB116" s="2" t="s">
        <v>63</v>
      </c>
      <c r="AC116" s="2" t="s">
        <v>74</v>
      </c>
      <c r="AD116" s="2" t="s">
        <v>75</v>
      </c>
      <c r="AE116" s="2" t="s">
        <v>439</v>
      </c>
      <c r="AF116" s="2" t="s">
        <v>63</v>
      </c>
      <c r="AG116" s="7">
        <v>15.0</v>
      </c>
      <c r="AH116" s="2"/>
      <c r="AI116" s="7">
        <v>8.5</v>
      </c>
      <c r="AJ116" s="2" t="s">
        <v>79</v>
      </c>
      <c r="AK116" s="7">
        <v>9.8</v>
      </c>
      <c r="AL116" s="2" t="s">
        <v>82</v>
      </c>
      <c r="AM116" s="2" t="s">
        <v>75</v>
      </c>
      <c r="AN116" s="2" t="s">
        <v>82</v>
      </c>
      <c r="AO116" s="7">
        <v>7.0</v>
      </c>
      <c r="AP116" s="7">
        <v>10.0</v>
      </c>
      <c r="AQ116" s="7">
        <v>7.0</v>
      </c>
      <c r="AR116" s="7">
        <v>8.0</v>
      </c>
      <c r="AS116" s="7"/>
      <c r="AT116" s="8"/>
      <c r="AU116" s="8"/>
      <c r="AV116" s="8"/>
      <c r="AW116" s="8"/>
      <c r="AX116" s="8"/>
      <c r="AY116" s="8">
        <v>0.0</v>
      </c>
      <c r="AZ116" s="9">
        <f t="shared" si="8"/>
        <v>8</v>
      </c>
    </row>
    <row r="117">
      <c r="A117" s="4">
        <v>42655.58118188658</v>
      </c>
      <c r="B117" s="5">
        <v>35309.0</v>
      </c>
      <c r="C117" s="2" t="s">
        <v>161</v>
      </c>
      <c r="D117" s="2" t="s">
        <v>47</v>
      </c>
      <c r="E117" s="2" t="s">
        <v>48</v>
      </c>
      <c r="F117" s="2" t="s">
        <v>83</v>
      </c>
      <c r="G117" s="2"/>
      <c r="H117" s="2" t="s">
        <v>66</v>
      </c>
      <c r="I117" s="2" t="s">
        <v>142</v>
      </c>
      <c r="J117" s="2" t="s">
        <v>111</v>
      </c>
      <c r="K117" s="2" t="s">
        <v>53</v>
      </c>
      <c r="L117" s="2" t="s">
        <v>84</v>
      </c>
      <c r="M117" s="2" t="s">
        <v>55</v>
      </c>
      <c r="N117" s="2" t="s">
        <v>96</v>
      </c>
      <c r="O117" s="2" t="s">
        <v>504</v>
      </c>
      <c r="P117" s="4">
        <v>27963.581180555557</v>
      </c>
      <c r="Q117" s="5">
        <v>20617.581180555557</v>
      </c>
      <c r="R117" s="2" t="s">
        <v>73</v>
      </c>
      <c r="S117" s="2" t="s">
        <v>100</v>
      </c>
      <c r="T117" s="2" t="s">
        <v>58</v>
      </c>
      <c r="U117" s="2" t="s">
        <v>58</v>
      </c>
      <c r="V117" s="2"/>
      <c r="W117" s="2" t="s">
        <v>59</v>
      </c>
      <c r="X117" s="2" t="s">
        <v>170</v>
      </c>
      <c r="Y117" s="2" t="s">
        <v>61</v>
      </c>
      <c r="Z117" s="2" t="s">
        <v>61</v>
      </c>
      <c r="AA117" s="2" t="s">
        <v>62</v>
      </c>
      <c r="AB117" s="2" t="s">
        <v>63</v>
      </c>
      <c r="AC117" s="2" t="s">
        <v>74</v>
      </c>
      <c r="AD117" s="2" t="s">
        <v>75</v>
      </c>
      <c r="AE117" s="2"/>
      <c r="AF117" s="2" t="s">
        <v>63</v>
      </c>
      <c r="AG117" s="7">
        <v>14.0</v>
      </c>
      <c r="AH117" s="2" t="s">
        <v>203</v>
      </c>
      <c r="AI117" s="2" t="s">
        <v>186</v>
      </c>
      <c r="AJ117" s="2" t="s">
        <v>79</v>
      </c>
      <c r="AK117" s="2" t="s">
        <v>172</v>
      </c>
      <c r="AL117" s="2" t="s">
        <v>82</v>
      </c>
      <c r="AM117" s="2" t="s">
        <v>75</v>
      </c>
      <c r="AN117" s="2" t="s">
        <v>82</v>
      </c>
      <c r="AO117" s="7">
        <v>8.0</v>
      </c>
      <c r="AP117" s="7">
        <v>8.0</v>
      </c>
      <c r="AQ117" s="7">
        <v>9.0</v>
      </c>
      <c r="AR117" s="7">
        <v>8.0</v>
      </c>
      <c r="AS117" s="7"/>
      <c r="AT117" s="8"/>
      <c r="AU117" s="8"/>
      <c r="AV117" s="8"/>
      <c r="AW117" s="8"/>
      <c r="AX117" s="8"/>
      <c r="AY117" s="8">
        <v>0.0</v>
      </c>
      <c r="AZ117" s="9">
        <f t="shared" si="8"/>
        <v>8.25</v>
      </c>
    </row>
    <row r="118">
      <c r="A118" s="4">
        <v>42655.58170219907</v>
      </c>
      <c r="B118" s="5">
        <v>35176.0</v>
      </c>
      <c r="C118" s="2" t="s">
        <v>161</v>
      </c>
      <c r="D118" s="2" t="s">
        <v>47</v>
      </c>
      <c r="E118" s="2" t="s">
        <v>256</v>
      </c>
      <c r="F118" s="2" t="s">
        <v>505</v>
      </c>
      <c r="G118" s="2"/>
      <c r="H118" s="2" t="s">
        <v>137</v>
      </c>
      <c r="I118" s="2" t="s">
        <v>51</v>
      </c>
      <c r="J118" s="2" t="s">
        <v>68</v>
      </c>
      <c r="K118" s="2" t="s">
        <v>143</v>
      </c>
      <c r="L118" s="2" t="s">
        <v>69</v>
      </c>
      <c r="M118" s="2" t="s">
        <v>55</v>
      </c>
      <c r="N118" s="2" t="s">
        <v>113</v>
      </c>
      <c r="O118" s="2" t="s">
        <v>168</v>
      </c>
      <c r="P118" s="4">
        <v>27697.581701388888</v>
      </c>
      <c r="Q118" s="5">
        <v>20218.581701388888</v>
      </c>
      <c r="R118" s="2" t="s">
        <v>73</v>
      </c>
      <c r="S118" s="2" t="s">
        <v>100</v>
      </c>
      <c r="T118" s="2" t="s">
        <v>58</v>
      </c>
      <c r="U118" s="2" t="s">
        <v>58</v>
      </c>
      <c r="V118" s="2"/>
      <c r="W118" s="2" t="s">
        <v>59</v>
      </c>
      <c r="X118" s="2" t="s">
        <v>170</v>
      </c>
      <c r="Y118" s="2" t="s">
        <v>101</v>
      </c>
      <c r="Z118" s="2" t="s">
        <v>210</v>
      </c>
      <c r="AA118" s="2" t="s">
        <v>506</v>
      </c>
      <c r="AB118" s="2" t="s">
        <v>63</v>
      </c>
      <c r="AC118" s="2" t="s">
        <v>74</v>
      </c>
      <c r="AD118" s="2" t="s">
        <v>82</v>
      </c>
      <c r="AE118" s="2" t="s">
        <v>507</v>
      </c>
      <c r="AF118" s="2" t="s">
        <v>63</v>
      </c>
      <c r="AG118" s="7">
        <v>7.0</v>
      </c>
      <c r="AH118" s="2" t="s">
        <v>508</v>
      </c>
      <c r="AI118" s="7">
        <v>10.0</v>
      </c>
      <c r="AJ118" s="2" t="s">
        <v>124</v>
      </c>
      <c r="AK118" s="2" t="s">
        <v>80</v>
      </c>
      <c r="AL118" s="2" t="s">
        <v>82</v>
      </c>
      <c r="AM118" s="2" t="s">
        <v>82</v>
      </c>
      <c r="AN118" s="2" t="s">
        <v>82</v>
      </c>
      <c r="AO118" s="7">
        <v>8.0</v>
      </c>
      <c r="AP118" s="7">
        <v>6.0</v>
      </c>
      <c r="AQ118" s="7">
        <v>7.0</v>
      </c>
      <c r="AR118" s="7">
        <v>6.0</v>
      </c>
      <c r="AS118" s="7"/>
      <c r="AT118" s="8"/>
      <c r="AU118" s="8"/>
      <c r="AV118" s="8"/>
      <c r="AW118" s="8"/>
      <c r="AX118" s="8"/>
      <c r="AY118" s="8">
        <v>1.0</v>
      </c>
      <c r="AZ118" s="9">
        <f t="shared" si="8"/>
        <v>6.75</v>
      </c>
    </row>
    <row r="119">
      <c r="A119" s="4">
        <v>42655.58194243055</v>
      </c>
      <c r="B119" s="5">
        <v>35464.0</v>
      </c>
      <c r="C119" s="2" t="s">
        <v>161</v>
      </c>
      <c r="D119" s="2" t="s">
        <v>47</v>
      </c>
      <c r="E119" s="2" t="s">
        <v>179</v>
      </c>
      <c r="F119" s="2" t="s">
        <v>400</v>
      </c>
      <c r="G119" s="2"/>
      <c r="H119" s="2" t="s">
        <v>509</v>
      </c>
      <c r="I119" s="2" t="s">
        <v>156</v>
      </c>
      <c r="J119" s="2" t="s">
        <v>68</v>
      </c>
      <c r="K119" s="2" t="s">
        <v>53</v>
      </c>
      <c r="L119" s="2" t="s">
        <v>112</v>
      </c>
      <c r="M119" s="2" t="s">
        <v>55</v>
      </c>
      <c r="N119" s="2" t="s">
        <v>96</v>
      </c>
      <c r="O119" s="2" t="s">
        <v>97</v>
      </c>
      <c r="P119" s="4">
        <v>28273.581944444446</v>
      </c>
      <c r="Q119" s="5">
        <v>21082.581944444446</v>
      </c>
      <c r="R119" s="2" t="s">
        <v>73</v>
      </c>
      <c r="S119" s="2" t="s">
        <v>100</v>
      </c>
      <c r="T119" s="2" t="s">
        <v>57</v>
      </c>
      <c r="U119" s="2" t="s">
        <v>58</v>
      </c>
      <c r="V119" s="2"/>
      <c r="W119" s="2" t="s">
        <v>98</v>
      </c>
      <c r="X119" s="2" t="s">
        <v>98</v>
      </c>
      <c r="Y119" s="2" t="s">
        <v>61</v>
      </c>
      <c r="Z119" s="2" t="s">
        <v>61</v>
      </c>
      <c r="AA119" s="2" t="s">
        <v>62</v>
      </c>
      <c r="AB119" s="2" t="s">
        <v>63</v>
      </c>
      <c r="AC119" s="2" t="s">
        <v>74</v>
      </c>
      <c r="AD119" s="2" t="s">
        <v>75</v>
      </c>
      <c r="AE119" s="2" t="s">
        <v>510</v>
      </c>
      <c r="AF119" s="2" t="s">
        <v>63</v>
      </c>
      <c r="AG119" s="2" t="s">
        <v>511</v>
      </c>
      <c r="AH119" s="7">
        <v>8.0</v>
      </c>
      <c r="AI119" s="7">
        <v>8.0</v>
      </c>
      <c r="AJ119" s="2" t="s">
        <v>124</v>
      </c>
      <c r="AK119" s="2" t="s">
        <v>252</v>
      </c>
      <c r="AL119" s="2" t="s">
        <v>75</v>
      </c>
      <c r="AM119" s="2" t="s">
        <v>75</v>
      </c>
      <c r="AN119" s="2" t="s">
        <v>75</v>
      </c>
      <c r="AO119" s="7">
        <v>6.0</v>
      </c>
      <c r="AP119" s="7">
        <v>5.0</v>
      </c>
      <c r="AQ119" s="7">
        <v>6.0</v>
      </c>
      <c r="AR119" s="7">
        <v>6.0</v>
      </c>
      <c r="AS119" s="7"/>
      <c r="AT119" s="8"/>
      <c r="AU119" s="8"/>
      <c r="AV119" s="8"/>
      <c r="AW119" s="8"/>
      <c r="AX119" s="8"/>
      <c r="AY119" s="8">
        <v>2.0</v>
      </c>
      <c r="AZ119" s="9">
        <f t="shared" si="8"/>
        <v>5.75</v>
      </c>
    </row>
    <row r="120">
      <c r="A120" s="4">
        <v>42655.58206315972</v>
      </c>
      <c r="B120" s="5">
        <v>35134.0</v>
      </c>
      <c r="C120" s="2" t="s">
        <v>161</v>
      </c>
      <c r="D120" s="2" t="s">
        <v>47</v>
      </c>
      <c r="E120" s="2" t="s">
        <v>291</v>
      </c>
      <c r="F120" s="2" t="s">
        <v>512</v>
      </c>
      <c r="G120" s="2"/>
      <c r="H120" s="2" t="s">
        <v>66</v>
      </c>
      <c r="I120" s="2" t="s">
        <v>51</v>
      </c>
      <c r="J120" s="2" t="s">
        <v>234</v>
      </c>
      <c r="K120" s="2" t="s">
        <v>143</v>
      </c>
      <c r="L120" s="2" t="s">
        <v>84</v>
      </c>
      <c r="M120" s="2" t="s">
        <v>70</v>
      </c>
      <c r="N120" s="2" t="s">
        <v>113</v>
      </c>
      <c r="O120" s="2" t="s">
        <v>97</v>
      </c>
      <c r="P120" s="4">
        <v>27613.582060185185</v>
      </c>
      <c r="Q120" s="5">
        <v>20092.582060185185</v>
      </c>
      <c r="R120" s="2" t="s">
        <v>73</v>
      </c>
      <c r="S120" s="2" t="s">
        <v>57</v>
      </c>
      <c r="T120" s="2" t="s">
        <v>58</v>
      </c>
      <c r="U120" s="2" t="s">
        <v>58</v>
      </c>
      <c r="V120" s="2"/>
      <c r="W120" s="2" t="s">
        <v>59</v>
      </c>
      <c r="X120" s="2" t="s">
        <v>170</v>
      </c>
      <c r="Y120" s="2" t="s">
        <v>61</v>
      </c>
      <c r="Z120" s="2" t="s">
        <v>101</v>
      </c>
      <c r="AA120" s="2" t="s">
        <v>433</v>
      </c>
      <c r="AB120" s="2" t="s">
        <v>63</v>
      </c>
      <c r="AC120" s="2" t="s">
        <v>74</v>
      </c>
      <c r="AD120" s="2" t="s">
        <v>81</v>
      </c>
      <c r="AE120" s="2"/>
      <c r="AF120" s="2" t="s">
        <v>63</v>
      </c>
      <c r="AG120" s="7">
        <v>18.0</v>
      </c>
      <c r="AH120" s="2" t="s">
        <v>513</v>
      </c>
      <c r="AI120" s="2" t="s">
        <v>269</v>
      </c>
      <c r="AJ120" s="2" t="s">
        <v>79</v>
      </c>
      <c r="AK120" s="2" t="s">
        <v>104</v>
      </c>
      <c r="AL120" s="2" t="s">
        <v>82</v>
      </c>
      <c r="AM120" s="2" t="s">
        <v>75</v>
      </c>
      <c r="AN120" s="2" t="s">
        <v>82</v>
      </c>
      <c r="AO120" s="7">
        <v>9.0</v>
      </c>
      <c r="AP120" s="7">
        <v>10.0</v>
      </c>
      <c r="AQ120" s="7">
        <v>8.0</v>
      </c>
      <c r="AR120" s="7">
        <v>8.0</v>
      </c>
      <c r="AS120" s="7"/>
      <c r="AT120" s="8"/>
      <c r="AU120" s="8"/>
      <c r="AV120" s="8"/>
      <c r="AW120" s="8"/>
      <c r="AX120" s="8"/>
      <c r="AY120" s="8">
        <v>0.0</v>
      </c>
      <c r="AZ120" s="9">
        <f t="shared" si="8"/>
        <v>8.75</v>
      </c>
    </row>
    <row r="121">
      <c r="A121" s="4">
        <v>42655.582283275464</v>
      </c>
      <c r="B121" s="5">
        <v>35467.0</v>
      </c>
      <c r="C121" s="2" t="s">
        <v>161</v>
      </c>
      <c r="D121" s="2" t="s">
        <v>47</v>
      </c>
      <c r="E121" s="2" t="s">
        <v>48</v>
      </c>
      <c r="F121" s="2" t="s">
        <v>347</v>
      </c>
      <c r="G121" s="2"/>
      <c r="H121" s="2" t="s">
        <v>120</v>
      </c>
      <c r="I121" s="2" t="s">
        <v>51</v>
      </c>
      <c r="J121" s="2" t="s">
        <v>111</v>
      </c>
      <c r="K121" s="2" t="s">
        <v>143</v>
      </c>
      <c r="L121" s="2" t="s">
        <v>84</v>
      </c>
      <c r="M121" s="2" t="s">
        <v>55</v>
      </c>
      <c r="N121" s="2" t="s">
        <v>96</v>
      </c>
      <c r="O121" s="2" t="s">
        <v>97</v>
      </c>
      <c r="P121" s="4">
        <v>28279.582280092593</v>
      </c>
      <c r="Q121" s="5">
        <v>21091.582280092593</v>
      </c>
      <c r="R121" s="2" t="s">
        <v>57</v>
      </c>
      <c r="S121" s="2" t="s">
        <v>100</v>
      </c>
      <c r="T121" s="2" t="s">
        <v>57</v>
      </c>
      <c r="U121" s="2" t="s">
        <v>58</v>
      </c>
      <c r="V121" s="2" t="s">
        <v>514</v>
      </c>
      <c r="W121" s="2" t="s">
        <v>57</v>
      </c>
      <c r="X121" s="2" t="s">
        <v>73</v>
      </c>
      <c r="Y121" s="2" t="s">
        <v>61</v>
      </c>
      <c r="Z121" s="2" t="s">
        <v>61</v>
      </c>
      <c r="AA121" s="2" t="s">
        <v>62</v>
      </c>
      <c r="AB121" s="2" t="s">
        <v>63</v>
      </c>
      <c r="AC121" s="2" t="s">
        <v>74</v>
      </c>
      <c r="AD121" s="2" t="s">
        <v>81</v>
      </c>
      <c r="AE121" s="2"/>
      <c r="AF121" s="2" t="s">
        <v>63</v>
      </c>
      <c r="AG121" s="2" t="s">
        <v>515</v>
      </c>
      <c r="AH121" s="2" t="s">
        <v>222</v>
      </c>
      <c r="AI121" s="2" t="s">
        <v>148</v>
      </c>
      <c r="AJ121" s="2" t="s">
        <v>124</v>
      </c>
      <c r="AK121" s="2" t="s">
        <v>516</v>
      </c>
      <c r="AL121" s="2" t="s">
        <v>75</v>
      </c>
      <c r="AM121" s="2" t="s">
        <v>75</v>
      </c>
      <c r="AN121" s="2" t="s">
        <v>82</v>
      </c>
      <c r="AO121" s="7">
        <v>5.0</v>
      </c>
      <c r="AP121" s="7">
        <v>7.0</v>
      </c>
      <c r="AQ121" s="7">
        <v>8.0</v>
      </c>
      <c r="AR121" s="7">
        <v>6.0</v>
      </c>
      <c r="AS121" s="7"/>
      <c r="AT121" s="8"/>
      <c r="AU121" s="8"/>
      <c r="AV121" s="8"/>
      <c r="AW121" s="8"/>
      <c r="AX121" s="8"/>
      <c r="AY121" s="8">
        <v>0.0</v>
      </c>
      <c r="AZ121" s="9">
        <f t="shared" si="8"/>
        <v>6.5</v>
      </c>
    </row>
    <row r="122">
      <c r="A122" s="4">
        <v>42655.58292351852</v>
      </c>
      <c r="B122" s="5">
        <v>35546.0</v>
      </c>
      <c r="C122" s="2" t="s">
        <v>161</v>
      </c>
      <c r="D122" s="2" t="s">
        <v>47</v>
      </c>
      <c r="E122" s="2" t="s">
        <v>517</v>
      </c>
      <c r="F122" s="2" t="s">
        <v>518</v>
      </c>
      <c r="G122" s="2"/>
      <c r="H122" s="2" t="s">
        <v>66</v>
      </c>
      <c r="I122" s="2" t="s">
        <v>156</v>
      </c>
      <c r="J122" s="2" t="s">
        <v>234</v>
      </c>
      <c r="K122" s="2" t="s">
        <v>143</v>
      </c>
      <c r="L122" s="2" t="s">
        <v>95</v>
      </c>
      <c r="M122" s="2" t="s">
        <v>55</v>
      </c>
      <c r="N122" s="2" t="s">
        <v>113</v>
      </c>
      <c r="O122" s="2" t="s">
        <v>174</v>
      </c>
      <c r="P122" s="4">
        <v>28437.58292824074</v>
      </c>
      <c r="Q122" s="5">
        <v>21328.58292824074</v>
      </c>
      <c r="R122" s="2" t="s">
        <v>73</v>
      </c>
      <c r="S122" s="2" t="s">
        <v>73</v>
      </c>
      <c r="T122" s="2" t="s">
        <v>58</v>
      </c>
      <c r="U122" s="2" t="s">
        <v>58</v>
      </c>
      <c r="V122" s="2"/>
      <c r="W122" s="2" t="s">
        <v>59</v>
      </c>
      <c r="X122" s="2" t="s">
        <v>170</v>
      </c>
      <c r="Y122" s="2" t="s">
        <v>61</v>
      </c>
      <c r="Z122" s="2" t="s">
        <v>101</v>
      </c>
      <c r="AA122" s="2" t="s">
        <v>62</v>
      </c>
      <c r="AB122" s="2" t="s">
        <v>74</v>
      </c>
      <c r="AC122" s="2" t="s">
        <v>74</v>
      </c>
      <c r="AD122" s="2" t="s">
        <v>81</v>
      </c>
      <c r="AE122" s="2" t="s">
        <v>519</v>
      </c>
      <c r="AF122" s="2" t="s">
        <v>63</v>
      </c>
      <c r="AG122" s="2"/>
      <c r="AH122" s="2"/>
      <c r="AI122" s="2" t="s">
        <v>318</v>
      </c>
      <c r="AJ122" s="2" t="s">
        <v>79</v>
      </c>
      <c r="AK122" s="2" t="s">
        <v>299</v>
      </c>
      <c r="AL122" s="2" t="s">
        <v>75</v>
      </c>
      <c r="AM122" s="2" t="s">
        <v>75</v>
      </c>
      <c r="AN122" s="2" t="s">
        <v>75</v>
      </c>
      <c r="AO122" s="2"/>
      <c r="AP122" s="7">
        <v>6.0</v>
      </c>
      <c r="AQ122" s="7">
        <v>7.0</v>
      </c>
      <c r="AR122" s="7">
        <v>6.0</v>
      </c>
      <c r="AS122" s="2"/>
      <c r="AT122" s="9"/>
      <c r="AU122" s="9"/>
      <c r="AV122" s="9"/>
      <c r="AW122" s="9"/>
      <c r="AX122" s="9"/>
      <c r="AY122" s="9"/>
      <c r="AZ122" s="9">
        <f t="shared" si="8"/>
        <v>6.333333333</v>
      </c>
    </row>
    <row r="123">
      <c r="A123" s="4">
        <v>42655.58299298611</v>
      </c>
      <c r="B123" s="5">
        <v>35400.0</v>
      </c>
      <c r="C123" s="2" t="s">
        <v>161</v>
      </c>
      <c r="D123" s="2" t="s">
        <v>47</v>
      </c>
      <c r="E123" s="2" t="s">
        <v>48</v>
      </c>
      <c r="F123" s="2" t="s">
        <v>520</v>
      </c>
      <c r="G123" s="2"/>
      <c r="H123" s="2" t="s">
        <v>120</v>
      </c>
      <c r="I123" s="2" t="s">
        <v>51</v>
      </c>
      <c r="J123" s="2" t="s">
        <v>68</v>
      </c>
      <c r="K123" s="2" t="s">
        <v>53</v>
      </c>
      <c r="L123" s="2" t="s">
        <v>95</v>
      </c>
      <c r="M123" s="2" t="s">
        <v>85</v>
      </c>
      <c r="N123" s="2" t="s">
        <v>113</v>
      </c>
      <c r="O123" s="2" t="s">
        <v>97</v>
      </c>
      <c r="P123" s="4">
        <v>28145.582997685186</v>
      </c>
      <c r="Q123" s="5">
        <v>20890.582997685186</v>
      </c>
      <c r="R123" s="2" t="s">
        <v>73</v>
      </c>
      <c r="S123" s="2" t="s">
        <v>100</v>
      </c>
      <c r="T123" s="2" t="s">
        <v>58</v>
      </c>
      <c r="U123" s="2" t="s">
        <v>58</v>
      </c>
      <c r="V123" s="2" t="s">
        <v>521</v>
      </c>
      <c r="W123" s="2" t="s">
        <v>57</v>
      </c>
      <c r="X123" s="2" t="s">
        <v>170</v>
      </c>
      <c r="Y123" s="2" t="s">
        <v>61</v>
      </c>
      <c r="Z123" s="2" t="s">
        <v>61</v>
      </c>
      <c r="AA123" s="2" t="s">
        <v>62</v>
      </c>
      <c r="AB123" s="2" t="s">
        <v>63</v>
      </c>
      <c r="AC123" s="2" t="s">
        <v>74</v>
      </c>
      <c r="AD123" s="2" t="s">
        <v>75</v>
      </c>
      <c r="AE123" s="2" t="s">
        <v>522</v>
      </c>
      <c r="AF123" s="2" t="s">
        <v>63</v>
      </c>
      <c r="AG123" s="7">
        <v>10.0</v>
      </c>
      <c r="AH123" s="2" t="s">
        <v>523</v>
      </c>
      <c r="AI123" s="2" t="s">
        <v>524</v>
      </c>
      <c r="AJ123" s="2" t="s">
        <v>124</v>
      </c>
      <c r="AK123" s="2" t="s">
        <v>104</v>
      </c>
      <c r="AL123" s="2" t="s">
        <v>82</v>
      </c>
      <c r="AM123" s="2" t="s">
        <v>82</v>
      </c>
      <c r="AN123" s="2" t="s">
        <v>82</v>
      </c>
      <c r="AO123" s="7">
        <v>10.0</v>
      </c>
      <c r="AP123" s="7">
        <v>10.0</v>
      </c>
      <c r="AQ123" s="7">
        <v>10.0</v>
      </c>
      <c r="AR123" s="7">
        <v>10.0</v>
      </c>
      <c r="AS123" s="7"/>
      <c r="AT123" s="8"/>
      <c r="AU123" s="8"/>
      <c r="AV123" s="8"/>
      <c r="AW123" s="8"/>
      <c r="AX123" s="8"/>
      <c r="AY123" s="8">
        <v>0.0</v>
      </c>
      <c r="AZ123" s="9">
        <f t="shared" si="8"/>
        <v>10</v>
      </c>
    </row>
    <row r="124">
      <c r="A124" s="4">
        <v>42655.583214513885</v>
      </c>
      <c r="B124" s="5">
        <v>35336.0</v>
      </c>
      <c r="C124" s="2" t="s">
        <v>161</v>
      </c>
      <c r="D124" s="2" t="s">
        <v>47</v>
      </c>
      <c r="E124" s="2" t="s">
        <v>525</v>
      </c>
      <c r="F124" s="2" t="s">
        <v>526</v>
      </c>
      <c r="G124" s="2"/>
      <c r="H124" s="2" t="s">
        <v>66</v>
      </c>
      <c r="I124" s="2" t="s">
        <v>51</v>
      </c>
      <c r="J124" s="2" t="s">
        <v>52</v>
      </c>
      <c r="K124" s="2" t="s">
        <v>143</v>
      </c>
      <c r="L124" s="2" t="s">
        <v>95</v>
      </c>
      <c r="M124" s="2" t="s">
        <v>85</v>
      </c>
      <c r="N124" s="2" t="s">
        <v>113</v>
      </c>
      <c r="O124" s="2" t="s">
        <v>97</v>
      </c>
      <c r="P124" s="4">
        <v>28017.583217592593</v>
      </c>
      <c r="Q124" s="5">
        <v>20698.583217592593</v>
      </c>
      <c r="R124" s="2" t="s">
        <v>159</v>
      </c>
      <c r="S124" s="2" t="s">
        <v>73</v>
      </c>
      <c r="T124" s="2" t="s">
        <v>58</v>
      </c>
      <c r="U124" s="2" t="s">
        <v>58</v>
      </c>
      <c r="V124" s="2"/>
      <c r="W124" s="2" t="s">
        <v>59</v>
      </c>
      <c r="X124" s="2" t="s">
        <v>170</v>
      </c>
      <c r="Y124" s="2" t="s">
        <v>61</v>
      </c>
      <c r="Z124" s="2" t="s">
        <v>61</v>
      </c>
      <c r="AA124" s="2" t="s">
        <v>62</v>
      </c>
      <c r="AB124" s="2" t="s">
        <v>63</v>
      </c>
      <c r="AC124" s="2" t="s">
        <v>74</v>
      </c>
      <c r="AD124" s="2" t="s">
        <v>75</v>
      </c>
      <c r="AE124" s="2" t="s">
        <v>527</v>
      </c>
      <c r="AF124" s="2" t="s">
        <v>63</v>
      </c>
      <c r="AG124" s="2" t="s">
        <v>172</v>
      </c>
      <c r="AH124" s="2" t="s">
        <v>290</v>
      </c>
      <c r="AI124" s="2" t="s">
        <v>148</v>
      </c>
      <c r="AJ124" s="2" t="s">
        <v>79</v>
      </c>
      <c r="AK124" s="2" t="s">
        <v>225</v>
      </c>
      <c r="AL124" s="2" t="s">
        <v>82</v>
      </c>
      <c r="AM124" s="2" t="s">
        <v>75</v>
      </c>
      <c r="AN124" s="2" t="s">
        <v>82</v>
      </c>
      <c r="AO124" s="7">
        <v>8.0</v>
      </c>
      <c r="AP124" s="7">
        <v>9.0</v>
      </c>
      <c r="AQ124" s="7">
        <v>8.0</v>
      </c>
      <c r="AR124" s="7">
        <v>6.0</v>
      </c>
      <c r="AS124" s="7"/>
      <c r="AT124" s="8"/>
      <c r="AU124" s="8"/>
      <c r="AV124" s="8"/>
      <c r="AW124" s="8"/>
      <c r="AX124" s="8"/>
      <c r="AY124" s="8">
        <v>0.0</v>
      </c>
      <c r="AZ124" s="9">
        <f t="shared" si="8"/>
        <v>7.75</v>
      </c>
    </row>
    <row r="125">
      <c r="A125" s="4">
        <v>42655.58350807871</v>
      </c>
      <c r="B125" s="5">
        <v>35354.0</v>
      </c>
      <c r="C125" s="2" t="s">
        <v>161</v>
      </c>
      <c r="D125" s="2" t="s">
        <v>47</v>
      </c>
      <c r="E125" s="2" t="s">
        <v>48</v>
      </c>
      <c r="F125" s="2" t="s">
        <v>528</v>
      </c>
      <c r="G125" s="2"/>
      <c r="H125" s="2" t="s">
        <v>120</v>
      </c>
      <c r="I125" s="2"/>
      <c r="J125" s="2" t="s">
        <v>52</v>
      </c>
      <c r="K125" s="2" t="s">
        <v>143</v>
      </c>
      <c r="L125" s="2" t="s">
        <v>84</v>
      </c>
      <c r="M125" s="2" t="s">
        <v>529</v>
      </c>
      <c r="N125" s="2" t="s">
        <v>96</v>
      </c>
      <c r="O125" s="2" t="s">
        <v>87</v>
      </c>
      <c r="P125" s="4">
        <v>28053.583506944444</v>
      </c>
      <c r="Q125" s="5">
        <v>20752.583506944444</v>
      </c>
      <c r="R125" s="2" t="s">
        <v>73</v>
      </c>
      <c r="S125" s="2" t="s">
        <v>73</v>
      </c>
      <c r="T125" s="2" t="s">
        <v>57</v>
      </c>
      <c r="U125" s="2" t="s">
        <v>57</v>
      </c>
      <c r="V125" s="2" t="s">
        <v>530</v>
      </c>
      <c r="W125" s="2" t="s">
        <v>59</v>
      </c>
      <c r="X125" s="2" t="s">
        <v>73</v>
      </c>
      <c r="Y125" s="2" t="s">
        <v>60</v>
      </c>
      <c r="Z125" s="2" t="s">
        <v>101</v>
      </c>
      <c r="AA125" s="2" t="s">
        <v>62</v>
      </c>
      <c r="AB125" s="2" t="s">
        <v>74</v>
      </c>
      <c r="AC125" s="2" t="s">
        <v>74</v>
      </c>
      <c r="AD125" s="2" t="s">
        <v>75</v>
      </c>
      <c r="AE125" s="2" t="s">
        <v>88</v>
      </c>
      <c r="AF125" s="2" t="s">
        <v>63</v>
      </c>
      <c r="AG125" s="2"/>
      <c r="AH125" s="7">
        <v>9.21</v>
      </c>
      <c r="AI125" s="7">
        <v>8.65</v>
      </c>
      <c r="AJ125" s="2" t="s">
        <v>124</v>
      </c>
      <c r="AK125" s="7">
        <v>9.6</v>
      </c>
      <c r="AL125" s="2" t="s">
        <v>75</v>
      </c>
      <c r="AM125" s="2" t="s">
        <v>75</v>
      </c>
      <c r="AN125" s="2" t="s">
        <v>82</v>
      </c>
      <c r="AO125" s="7">
        <v>8.0</v>
      </c>
      <c r="AP125" s="7">
        <v>7.0</v>
      </c>
      <c r="AQ125" s="7">
        <v>8.0</v>
      </c>
      <c r="AR125" s="7">
        <v>6.0</v>
      </c>
      <c r="AS125" s="7"/>
      <c r="AT125" s="8"/>
      <c r="AU125" s="8"/>
      <c r="AV125" s="8"/>
      <c r="AW125" s="8"/>
      <c r="AX125" s="8"/>
      <c r="AY125" s="8">
        <v>0.0</v>
      </c>
      <c r="AZ125" s="9">
        <f t="shared" si="8"/>
        <v>7.25</v>
      </c>
    </row>
    <row r="126">
      <c r="A126" s="4">
        <v>42655.58350804399</v>
      </c>
      <c r="B126" s="5">
        <v>35507.0</v>
      </c>
      <c r="C126" s="2" t="s">
        <v>161</v>
      </c>
      <c r="D126" s="2" t="s">
        <v>47</v>
      </c>
      <c r="E126" s="2" t="s">
        <v>106</v>
      </c>
      <c r="F126" s="2" t="s">
        <v>531</v>
      </c>
      <c r="G126" s="2"/>
      <c r="H126" s="2" t="s">
        <v>66</v>
      </c>
      <c r="I126" s="2" t="s">
        <v>246</v>
      </c>
      <c r="J126" s="2" t="s">
        <v>52</v>
      </c>
      <c r="K126" s="2" t="s">
        <v>53</v>
      </c>
      <c r="L126" s="2" t="s">
        <v>84</v>
      </c>
      <c r="M126" s="2" t="s">
        <v>55</v>
      </c>
      <c r="N126" s="2" t="s">
        <v>96</v>
      </c>
      <c r="O126" s="2" t="s">
        <v>361</v>
      </c>
      <c r="P126" s="4">
        <v>28359.583506944444</v>
      </c>
      <c r="Q126" s="5">
        <v>21211.583506944444</v>
      </c>
      <c r="R126" s="2" t="s">
        <v>73</v>
      </c>
      <c r="S126" s="2" t="s">
        <v>57</v>
      </c>
      <c r="T126" s="2" t="s">
        <v>58</v>
      </c>
      <c r="U126" s="2" t="s">
        <v>58</v>
      </c>
      <c r="V126" s="2" t="s">
        <v>532</v>
      </c>
      <c r="W126" s="2" t="s">
        <v>57</v>
      </c>
      <c r="X126" s="2" t="s">
        <v>170</v>
      </c>
      <c r="Y126" s="2" t="s">
        <v>60</v>
      </c>
      <c r="Z126" s="2" t="s">
        <v>101</v>
      </c>
      <c r="AA126" s="2" t="s">
        <v>62</v>
      </c>
      <c r="AB126" s="2" t="s">
        <v>74</v>
      </c>
      <c r="AC126" s="2" t="s">
        <v>74</v>
      </c>
      <c r="AD126" s="2" t="s">
        <v>82</v>
      </c>
      <c r="AE126" s="2" t="s">
        <v>533</v>
      </c>
      <c r="AF126" s="2" t="s">
        <v>63</v>
      </c>
      <c r="AG126" s="2"/>
      <c r="AH126" s="2" t="s">
        <v>534</v>
      </c>
      <c r="AI126" s="2" t="s">
        <v>130</v>
      </c>
      <c r="AJ126" s="2" t="s">
        <v>79</v>
      </c>
      <c r="AK126" s="2" t="s">
        <v>231</v>
      </c>
      <c r="AL126" s="2" t="s">
        <v>82</v>
      </c>
      <c r="AM126" s="2" t="s">
        <v>82</v>
      </c>
      <c r="AN126" s="2" t="s">
        <v>82</v>
      </c>
      <c r="AO126" s="7">
        <v>5.0</v>
      </c>
      <c r="AP126" s="7">
        <v>5.0</v>
      </c>
      <c r="AQ126" s="7">
        <v>4.0</v>
      </c>
      <c r="AR126" s="7">
        <v>6.0</v>
      </c>
      <c r="AS126" s="7"/>
      <c r="AT126" s="8"/>
      <c r="AU126" s="8"/>
      <c r="AV126" s="8"/>
      <c r="AW126" s="8"/>
      <c r="AX126" s="8"/>
      <c r="AY126" s="8">
        <v>2.0</v>
      </c>
      <c r="AZ126" s="9">
        <f t="shared" si="8"/>
        <v>5</v>
      </c>
    </row>
    <row r="127">
      <c r="A127" s="4">
        <v>42655.58381456019</v>
      </c>
      <c r="B127" s="5">
        <v>35035.0</v>
      </c>
      <c r="C127" s="2" t="s">
        <v>161</v>
      </c>
      <c r="D127" s="2" t="s">
        <v>47</v>
      </c>
      <c r="E127" s="2" t="s">
        <v>48</v>
      </c>
      <c r="F127" s="2" t="s">
        <v>535</v>
      </c>
      <c r="G127" s="2"/>
      <c r="H127" s="2" t="s">
        <v>120</v>
      </c>
      <c r="I127" s="2" t="s">
        <v>51</v>
      </c>
      <c r="J127" s="2" t="s">
        <v>68</v>
      </c>
      <c r="K127" s="2" t="s">
        <v>143</v>
      </c>
      <c r="L127" s="2" t="s">
        <v>95</v>
      </c>
      <c r="M127" s="2" t="s">
        <v>55</v>
      </c>
      <c r="N127" s="2" t="s">
        <v>113</v>
      </c>
      <c r="O127" s="2" t="s">
        <v>97</v>
      </c>
      <c r="P127" s="4">
        <v>27415.583819444444</v>
      </c>
      <c r="Q127" s="5">
        <v>19795.583819444444</v>
      </c>
      <c r="R127" s="2" t="s">
        <v>73</v>
      </c>
      <c r="S127" s="2" t="s">
        <v>100</v>
      </c>
      <c r="T127" s="2" t="s">
        <v>58</v>
      </c>
      <c r="U127" s="2" t="s">
        <v>58</v>
      </c>
      <c r="V127" s="2"/>
      <c r="W127" s="2" t="s">
        <v>59</v>
      </c>
      <c r="X127" s="2" t="s">
        <v>170</v>
      </c>
      <c r="Y127" s="2" t="s">
        <v>60</v>
      </c>
      <c r="Z127" s="2" t="s">
        <v>61</v>
      </c>
      <c r="AA127" s="2" t="s">
        <v>62</v>
      </c>
      <c r="AB127" s="2" t="s">
        <v>63</v>
      </c>
      <c r="AC127" s="2" t="s">
        <v>74</v>
      </c>
      <c r="AD127" s="2" t="s">
        <v>82</v>
      </c>
      <c r="AE127" s="2"/>
      <c r="AF127" s="2" t="s">
        <v>63</v>
      </c>
      <c r="AG127" s="7">
        <v>9.21</v>
      </c>
      <c r="AH127" s="7">
        <v>9.71</v>
      </c>
      <c r="AI127" s="7">
        <v>9.35</v>
      </c>
      <c r="AJ127" s="2" t="s">
        <v>124</v>
      </c>
      <c r="AK127" s="7">
        <v>9.8</v>
      </c>
      <c r="AL127" s="2" t="s">
        <v>82</v>
      </c>
      <c r="AM127" s="2" t="s">
        <v>75</v>
      </c>
      <c r="AN127" s="2" t="s">
        <v>82</v>
      </c>
      <c r="AO127" s="7">
        <v>5.0</v>
      </c>
      <c r="AP127" s="7">
        <v>6.0</v>
      </c>
      <c r="AQ127" s="7">
        <v>8.0</v>
      </c>
      <c r="AR127" s="2"/>
      <c r="AS127" s="7"/>
      <c r="AT127" s="8"/>
      <c r="AU127" s="8"/>
      <c r="AV127" s="8"/>
      <c r="AW127" s="8"/>
      <c r="AX127" s="8"/>
      <c r="AY127" s="8">
        <v>0.0</v>
      </c>
      <c r="AZ127" s="9">
        <f t="shared" si="8"/>
        <v>6.333333333</v>
      </c>
    </row>
    <row r="128">
      <c r="A128" s="4">
        <v>42655.584432187505</v>
      </c>
      <c r="B128" s="5">
        <v>35292.0</v>
      </c>
      <c r="C128" s="2" t="s">
        <v>161</v>
      </c>
      <c r="D128" s="2" t="s">
        <v>47</v>
      </c>
      <c r="E128" s="2" t="s">
        <v>48</v>
      </c>
      <c r="F128" s="2" t="s">
        <v>535</v>
      </c>
      <c r="G128" s="2"/>
      <c r="H128" s="2" t="s">
        <v>120</v>
      </c>
      <c r="I128" s="2" t="s">
        <v>51</v>
      </c>
      <c r="J128" s="2" t="s">
        <v>52</v>
      </c>
      <c r="K128" s="2" t="s">
        <v>143</v>
      </c>
      <c r="L128" s="2" t="s">
        <v>95</v>
      </c>
      <c r="M128" s="2" t="s">
        <v>55</v>
      </c>
      <c r="N128" s="2" t="s">
        <v>113</v>
      </c>
      <c r="O128" s="2" t="s">
        <v>168</v>
      </c>
      <c r="P128" s="4">
        <v>27929.58443287037</v>
      </c>
      <c r="Q128" s="5">
        <v>20566.58443287037</v>
      </c>
      <c r="R128" s="2" t="s">
        <v>73</v>
      </c>
      <c r="S128" s="2" t="s">
        <v>57</v>
      </c>
      <c r="T128" s="2" t="s">
        <v>58</v>
      </c>
      <c r="U128" s="2" t="s">
        <v>58</v>
      </c>
      <c r="V128" s="2" t="s">
        <v>536</v>
      </c>
      <c r="W128" s="2" t="s">
        <v>59</v>
      </c>
      <c r="X128" s="2" t="s">
        <v>170</v>
      </c>
      <c r="Y128" s="2" t="s">
        <v>60</v>
      </c>
      <c r="Z128" s="2" t="s">
        <v>101</v>
      </c>
      <c r="AA128" s="2" t="s">
        <v>62</v>
      </c>
      <c r="AB128" s="2" t="s">
        <v>74</v>
      </c>
      <c r="AC128" s="2" t="s">
        <v>74</v>
      </c>
      <c r="AD128" s="2" t="s">
        <v>75</v>
      </c>
      <c r="AE128" s="2" t="s">
        <v>537</v>
      </c>
      <c r="AF128" s="2" t="s">
        <v>63</v>
      </c>
      <c r="AG128" s="2" t="s">
        <v>371</v>
      </c>
      <c r="AH128" s="2" t="s">
        <v>538</v>
      </c>
      <c r="AI128" s="2" t="s">
        <v>148</v>
      </c>
      <c r="AJ128" s="2" t="s">
        <v>124</v>
      </c>
      <c r="AK128" s="2" t="s">
        <v>172</v>
      </c>
      <c r="AL128" s="2" t="s">
        <v>82</v>
      </c>
      <c r="AM128" s="2" t="s">
        <v>75</v>
      </c>
      <c r="AN128" s="2" t="s">
        <v>82</v>
      </c>
      <c r="AO128" s="7">
        <v>7.0</v>
      </c>
      <c r="AP128" s="7">
        <v>7.0</v>
      </c>
      <c r="AQ128" s="7">
        <v>10.0</v>
      </c>
      <c r="AR128" s="7">
        <v>8.0</v>
      </c>
      <c r="AS128" s="7"/>
      <c r="AT128" s="8"/>
      <c r="AU128" s="8"/>
      <c r="AV128" s="8"/>
      <c r="AW128" s="8"/>
      <c r="AX128" s="8"/>
      <c r="AY128" s="8">
        <v>0.0</v>
      </c>
      <c r="AZ128" s="9">
        <f t="shared" si="8"/>
        <v>8</v>
      </c>
    </row>
    <row r="129">
      <c r="A129" s="4">
        <v>42655.58507163194</v>
      </c>
      <c r="B129" s="5">
        <v>35086.0</v>
      </c>
      <c r="C129" s="2" t="s">
        <v>161</v>
      </c>
      <c r="D129" s="2" t="s">
        <v>47</v>
      </c>
      <c r="E129" s="2" t="s">
        <v>539</v>
      </c>
      <c r="F129" s="2" t="s">
        <v>540</v>
      </c>
      <c r="G129" s="2"/>
      <c r="H129" s="2" t="s">
        <v>66</v>
      </c>
      <c r="I129" s="2" t="s">
        <v>51</v>
      </c>
      <c r="J129" s="2" t="s">
        <v>234</v>
      </c>
      <c r="K129" s="2" t="s">
        <v>143</v>
      </c>
      <c r="L129" s="2" t="s">
        <v>144</v>
      </c>
      <c r="M129" s="2" t="s">
        <v>55</v>
      </c>
      <c r="N129" s="2" t="s">
        <v>113</v>
      </c>
      <c r="O129" s="2" t="s">
        <v>215</v>
      </c>
      <c r="P129" s="4">
        <v>27517.585069444445</v>
      </c>
      <c r="Q129" s="5">
        <v>19948.585069444445</v>
      </c>
      <c r="R129" s="2" t="s">
        <v>73</v>
      </c>
      <c r="S129" s="2" t="s">
        <v>73</v>
      </c>
      <c r="T129" s="2" t="s">
        <v>73</v>
      </c>
      <c r="U129" s="2" t="s">
        <v>58</v>
      </c>
      <c r="V129" s="2" t="s">
        <v>541</v>
      </c>
      <c r="W129" s="2" t="s">
        <v>59</v>
      </c>
      <c r="X129" s="2" t="s">
        <v>170</v>
      </c>
      <c r="Y129" s="2" t="s">
        <v>60</v>
      </c>
      <c r="Z129" s="2" t="s">
        <v>101</v>
      </c>
      <c r="AA129" s="2" t="s">
        <v>62</v>
      </c>
      <c r="AB129" s="2" t="s">
        <v>74</v>
      </c>
      <c r="AC129" s="2" t="s">
        <v>74</v>
      </c>
      <c r="AD129" s="2" t="s">
        <v>75</v>
      </c>
      <c r="AE129" s="2"/>
      <c r="AF129" s="2" t="s">
        <v>63</v>
      </c>
      <c r="AG129" s="7">
        <v>18.0</v>
      </c>
      <c r="AH129" s="2" t="s">
        <v>164</v>
      </c>
      <c r="AI129" s="2" t="s">
        <v>139</v>
      </c>
      <c r="AJ129" s="2" t="s">
        <v>79</v>
      </c>
      <c r="AK129" s="2" t="s">
        <v>130</v>
      </c>
      <c r="AL129" s="2" t="s">
        <v>82</v>
      </c>
      <c r="AM129" s="2" t="s">
        <v>75</v>
      </c>
      <c r="AN129" s="2" t="s">
        <v>82</v>
      </c>
      <c r="AO129" s="7">
        <v>6.0</v>
      </c>
      <c r="AP129" s="7">
        <v>8.0</v>
      </c>
      <c r="AQ129" s="7">
        <v>9.0</v>
      </c>
      <c r="AR129" s="7">
        <v>6.0</v>
      </c>
      <c r="AS129" s="7"/>
      <c r="AT129" s="8"/>
      <c r="AU129" s="8"/>
      <c r="AV129" s="8"/>
      <c r="AW129" s="8"/>
      <c r="AX129" s="8"/>
      <c r="AY129" s="8">
        <v>0.0</v>
      </c>
      <c r="AZ129" s="9">
        <f t="shared" si="8"/>
        <v>7.25</v>
      </c>
    </row>
    <row r="132">
      <c r="A132" s="13" t="s">
        <v>542</v>
      </c>
    </row>
    <row r="133">
      <c r="A133" s="14" t="str">
        <f>if(counta(AO4:AR129)=4,average(),"nu pot calcula")</f>
        <v>nu pot calcula</v>
      </c>
    </row>
  </sheetData>
  <conditionalFormatting sqref="AS2">
    <cfRule type="notContainsBlanks" dxfId="0" priority="1">
      <formula>LEN(TRIM(AS2))&gt;0</formula>
    </cfRule>
  </conditionalFormatting>
  <conditionalFormatting sqref="AZ129">
    <cfRule type="colorScale" priority="2">
      <colorScale>
        <cfvo type="min"/>
        <cfvo type="max"/>
        <color rgb="FFFF0000"/>
        <color rgb="FF00FF00"/>
      </colorScale>
    </cfRule>
  </conditionalFormatting>
  <conditionalFormatting sqref="AZ129">
    <cfRule type="colorScale" priority="3">
      <colorScale>
        <cfvo type="min"/>
        <cfvo type="max"/>
        <color rgb="FFFF0000"/>
        <color rgb="FF00FF00"/>
      </colorScale>
    </cfRule>
  </conditionalFormatting>
  <conditionalFormatting sqref="AZ129">
    <cfRule type="colorScale" priority="4">
      <colorScale>
        <cfvo type="min"/>
        <cfvo type="max"/>
        <color rgb="FFFF0000"/>
        <color rgb="FF00FF00"/>
      </colorScale>
    </cfRule>
  </conditionalFormatting>
  <conditionalFormatting sqref="AZ5:AZ129">
    <cfRule type="colorScale" priority="5">
      <colorScale>
        <cfvo type="min"/>
        <cfvo type="max"/>
        <color rgb="FFFF0000"/>
        <color rgb="FF00FF00"/>
      </colorScale>
    </cfRule>
  </conditionalFormatting>
  <conditionalFormatting sqref="AZ1:AZ1001">
    <cfRule type="cellIs" dxfId="0" priority="6" operator="equal">
      <formula>MAX($AZ$5:$AZ$129)</formula>
    </cfRule>
  </conditionalFormatting>
  <drawing r:id="rId1"/>
  <tableParts count="1">
    <tablePart r:id="rId3"/>
  </tableParts>
</worksheet>
</file>